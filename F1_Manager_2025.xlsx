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4F07B494-F19D-4816-887B-6CB49121482E}" xr6:coauthVersionLast="47" xr6:coauthVersionMax="47" xr10:uidLastSave="{00000000-0000-0000-0000-000000000000}"/>
  <bookViews>
    <workbookView xWindow="-110" yWindow="-110" windowWidth="29020" windowHeight="15700" tabRatio="936" activeTab="13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3" i="11" l="1"/>
  <c r="C53" i="15"/>
  <c r="C53" i="13"/>
  <c r="C53" i="16"/>
  <c r="C54" i="36"/>
  <c r="C53" i="6"/>
  <c r="C63" i="17"/>
  <c r="C62" i="17"/>
  <c r="C61" i="17"/>
  <c r="C60" i="17"/>
  <c r="C55" i="17"/>
  <c r="C59" i="17"/>
  <c r="C58" i="17"/>
  <c r="C56" i="17"/>
  <c r="C54" i="17"/>
  <c r="C57" i="17"/>
  <c r="C53" i="17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10" i="5"/>
  <c r="AD5" i="5"/>
  <c r="AD12" i="5"/>
  <c r="AD8" i="5"/>
  <c r="AD4" i="5"/>
  <c r="AD7" i="5"/>
  <c r="AD11" i="5"/>
  <c r="AD9" i="5"/>
  <c r="AD6" i="5"/>
  <c r="AD3" i="5"/>
  <c r="AD2" i="5"/>
  <c r="AD19" i="4"/>
  <c r="AD20" i="4"/>
  <c r="AD17" i="4"/>
  <c r="AD11" i="4"/>
  <c r="AD12" i="4"/>
  <c r="AD16" i="4"/>
  <c r="AD23" i="4"/>
  <c r="AD15" i="4"/>
  <c r="AD3" i="4"/>
  <c r="AD22" i="4"/>
  <c r="AD13" i="4"/>
  <c r="AD9" i="4"/>
  <c r="AD4" i="4"/>
  <c r="AD21" i="4"/>
  <c r="AD8" i="4"/>
  <c r="AD10" i="4"/>
  <c r="AD5" i="4"/>
  <c r="AD18" i="4"/>
  <c r="AD6" i="4"/>
  <c r="AD2" i="4"/>
  <c r="AD7" i="4"/>
  <c r="AD14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<sst xmlns="http://schemas.openxmlformats.org/spreadsheetml/2006/main" count="5091" uniqueCount="585">
  <si>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</si>
  <si>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</si>
  <si>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</si>
  <si>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</si>
  <si>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</si>
  <si>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</si>
  <si>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</si>
  <si>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</si>
  <si>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</si>
  <si>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</si>
  <si>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</si>
  <si>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</si>
  <si>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</si>
  <si>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</si>
  <si>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</si>
  <si>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</si>
  <si>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</si>
  <si>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</si>
  <si>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</si>
  <si>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</si>
  <si>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</si>
  <si>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</si>
  <si>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</si>
  <si>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</si>
  <si>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</si>
  <si>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</si>
  <si>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</si>
  <si>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</si>
  <si>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</si>
  <si>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</si>
  <si>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</si>
  <si>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</si>
  <si>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</si>
  <si>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</si>
  <si>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</si>
  <si>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</si>
  <si>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</si>
  <si>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</si>
  <si>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</si>
  <si>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</si>
  <si>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</si>
  <si>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</si>
  <si>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</si>
  <si>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</si>
  <si>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</si>
  <si>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</si>
  <si>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</si>
  <si>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</si>
  <si>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</si>
  <si>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</si>
  <si>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</si>
  <si>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</si>
  <si>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</si>
  <si>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</si>
  <si>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</si>
  <si>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</si>
  <si>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</si>
  <si>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</si>
  <si>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</si>
  <si>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</si>
  <si>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</si>
  <si>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</si>
  <si>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</si>
  <si>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</si>
  <si>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</si>
  <si>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</si>
  <si>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</si>
  <si>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</si>
  <si>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</si>
  <si>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</si>
  <si>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</si>
  <si>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</si>
  <si>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</si>
  <si>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</si>
  <si>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</si>
  <si>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</si>
  <si>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</si>
  <si>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</si>
  <si>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</si>
  <si>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</si>
  <si>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</si>
  <si>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</si>
  <si>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</si>
  <si>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</si>
  <si>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</si>
  <si>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</si>
  <si>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</si>
  <si>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</si>
  <si>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</si>
  <si>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</si>
  <si>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</si>
  <si>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</si>
  <si>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</si>
  <si>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</si>
  <si>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</si>
  <si>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</si>
  <si>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</si>
  <si>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</si>
  <si>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</si>
  <si>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</si>
  <si>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</si>
  <si>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</si>
  <si>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</si>
  <si>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</si>
  <si>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</si>
  <si>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</si>
  <si>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</si>
  <si>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</si>
  <si>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</si>
  <si>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</si>
  <si>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</si>
  <si>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</si>
  <si>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</si>
  <si>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</si>
  <si>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</si>
  <si>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</si>
  <si>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</si>
  <si>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</si>
  <si>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</si>
  <si>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</si>
  <si>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</si>
  <si>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</si>
  <si>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</si>
  <si>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</si>
  <si>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</si>
  <si>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</si>
  <si>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</si>
  <si>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</si>
  <si>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</si>
  <si>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</si>
  <si>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</si>
  <si>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</si>
  <si>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</si>
  <si>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</si>
  <si>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</si>
  <si>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</si>
  <si>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</si>
  <si>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</si>
  <si>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</si>
  <si>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</si>
  <si>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</si>
  <si>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</si>
  <si>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</si>
  <si>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</si>
  <si>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</si>
  <si>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</si>
  <si>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</si>
  <si>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</si>
  <si>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</si>
  <si>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</si>
  <si>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</si>
  <si>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</si>
  <si>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</si>
  <si>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</si>
  <si>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</si>
  <si>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</si>
  <si>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</si>
  <si>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</si>
  <si>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</si>
  <si>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</si>
  <si>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</si>
  <si>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</si>
  <si>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</si>
  <si>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</si>
  <si>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</si>
  <si>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</si>
  <si>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</si>
  <si>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</si>
  <si>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</si>
  <si>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</si>
  <si>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</si>
  <si>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</si>
  <si>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</si>
  <si>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</si>
  <si>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</si>
  <si>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</si>
  <si>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</si>
  <si>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</si>
  <si>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</si>
  <si>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</si>
  <si>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</si>
  <si>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</si>
  <si>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</si>
  <si>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</si>
  <si>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</si>
  <si>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</si>
  <si>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</si>
  <si>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</si>
  <si>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</si>
  <si>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</si>
  <si>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</si>
  <si>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</si>
  <si>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</si>
  <si>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</si>
  <si>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</si>
  <si>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</si>
  <si>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</si>
  <si>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</si>
  <si>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</si>
  <si>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</si>
  <si>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</si>
  <si>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</si>
  <si>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</si>
  <si>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</si>
  <si>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</si>
  <si>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</si>
  <si>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</si>
  <si>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</si>
  <si>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</si>
  <si>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</si>
  <si>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</si>
  <si>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</si>
  <si>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</si>
  <si>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</si>
  <si>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</si>
  <si>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</si>
  <si>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</si>
  <si>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</si>
  <si>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</si>
  <si>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</si>
  <si>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</si>
  <si>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</si>
  <si>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</si>
  <si>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</si>
  <si>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</si>
  <si>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</si>
  <si>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</si>
  <si>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</si>
  <si>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</si>
  <si>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</si>
  <si>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</si>
  <si>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</si>
  <si>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</si>
  <si>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</si>
  <si>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</si>
  <si>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</si>
  <si>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</si>
  <si>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</si>
  <si>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</si>
  <si>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</si>
  <si>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</si>
  <si>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</si>
  <si>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</si>
  <si>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</si>
  <si>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</si>
  <si>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</si>
  <si>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</si>
  <si>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</si>
  <si>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</si>
  <si>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</si>
  <si>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</si>
  <si>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</si>
  <si>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</si>
  <si>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</si>
  <si>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</si>
  <si>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</si>
  <si>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</si>
  <si>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</si>
  <si>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</si>
  <si>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</si>
  <si>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</si>
  <si>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</si>
  <si>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</si>
  <si>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</si>
  <si>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</si>
  <si>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</si>
  <si>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</si>
  <si>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</si>
  <si>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</si>
  <si>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</si>
  <si>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</si>
  <si>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</si>
  <si>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</si>
  <si>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</si>
  <si>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</si>
  <si>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</si>
  <si>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</si>
  <si>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</si>
  <si>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</si>
  <si>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</si>
  <si>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</si>
  <si>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</si>
  <si>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</si>
  <si>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</si>
  <si>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</si>
  <si>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</si>
  <si>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</si>
  <si>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</si>
  <si>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</si>
  <si>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</si>
  <si>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</si>
  <si>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</si>
  <si>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</si>
  <si>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</si>
  <si>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</si>
  <si>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</si>
  <si>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</si>
  <si>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</si>
  <si>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</si>
  <si>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</si>
  <si>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</si>
  <si>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</si>
  <si>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</si>
  <si>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</si>
  <si>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</si>
  <si>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</si>
  <si>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</si>
  <si>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</si>
  <si>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</si>
  <si>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</si>
  <si>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</si>
  <si>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</si>
  <si>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</si>
  <si>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</si>
  <si>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</si>
  <si>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</si>
  <si>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</si>
  <si>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</si>
  <si>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</si>
  <si>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</si>
  <si>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</si>
  <si>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</si>
  <si>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</si>
  <si>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</si>
  <si>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</si>
  <si>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</si>
  <si>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</si>
  <si>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</si>
  <si>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</si>
  <si>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</si>
  <si>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</si>
  <si>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</si>
  <si>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</si>
  <si>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</si>
  <si>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</si>
  <si>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</si>
  <si>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</si>
  <si>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</si>
  <si>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</si>
  <si>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</si>
  <si>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</si>
  <si>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</si>
  <si>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</si>
  <si>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</si>
  <si>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</si>
  <si>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</si>
  <si>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</si>
  <si>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</si>
  <si>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</si>
  <si>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</si>
  <si>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</si>
  <si>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</si>
  <si>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</si>
  <si>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</si>
  <si>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</si>
  <si>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</si>
  <si>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</si>
  <si>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</si>
  <si>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</si>
  <si>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</si>
  <si>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</si>
  <si>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</si>
  <si>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</si>
  <si>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</si>
  <si>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</si>
  <si>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</si>
  <si>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</si>
  <si>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</si>
  <si>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</si>
  <si>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</si>
  <si>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</si>
  <si>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</si>
  <si>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</si>
  <si>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</si>
  <si>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</si>
  <si>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</si>
  <si>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</si>
  <si>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</si>
  <si>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</si>
  <si>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</si>
  <si>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</si>
  <si>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</si>
  <si>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</si>
  <si>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</si>
  <si>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</si>
  <si>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</si>
  <si>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</si>
  <si>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</si>
  <si>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</si>
  <si>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</si>
  <si>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</si>
  <si>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</si>
  <si>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</si>
  <si>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</si>
  <si>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</si>
  <si>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</si>
  <si>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</si>
  <si>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</si>
  <si>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</si>
  <si>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</si>
  <si>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</si>
  <si>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</si>
  <si>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</si>
  <si>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</si>
  <si>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</si>
  <si>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</si>
  <si>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</si>
  <si>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</si>
  <si>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</si>
  <si>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</si>
  <si>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</si>
  <si>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</si>
  <si>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</si>
  <si>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</si>
  <si>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</si>
  <si>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</si>
  <si>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</si>
  <si>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</si>
  <si>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</si>
  <si>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</si>
  <si>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</si>
  <si>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</si>
  <si>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</si>
  <si>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</si>
  <si>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</si>
  <si>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</si>
  <si>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</si>
  <si>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</si>
  <si>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</si>
  <si>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</si>
  <si>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</si>
  <si>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</si>
  <si>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</si>
  <si>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</si>
  <si>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</si>
  <si>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</si>
  <si>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</si>
  <si>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</si>
  <si>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</si>
  <si>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</si>
  <si>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</si>
  <si>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</si>
  <si>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</si>
  <si>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</si>
  <si>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</si>
  <si>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</si>
  <si>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</si>
  <si>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</si>
  <si>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</si>
  <si>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</si>
  <si>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</si>
  <si>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</si>
  <si>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</si>
  <si>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</si>
  <si>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</si>
  <si>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</si>
  <si>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</si>
  <si>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</si>
  <si>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</si>
  <si>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</si>
  <si>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</si>
  <si>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</si>
  <si>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</si>
  <si>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</si>
  <si>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</si>
  <si>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</si>
  <si>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</si>
  <si>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</si>
  <si>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</si>
  <si>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</si>
  <si>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</si>
  <si>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</si>
  <si>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</si>
  <si>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</si>
  <si>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</si>
  <si>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</si>
  <si>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</si>
  <si>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</si>
  <si>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</si>
  <si>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</si>
  <si>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</si>
  <si>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</si>
  <si>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</si>
  <si>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</si>
  <si>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</si>
  <si>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</si>
  <si>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</si>
  <si>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</si>
  <si>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</si>
  <si>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</si>
  <si>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</si>
  <si>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</si>
  <si>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</si>
  <si>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</si>
  <si>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</si>
  <si>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</si>
  <si>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</si>
  <si>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</si>
  <si>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</si>
  <si>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</si>
  <si>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</si>
  <si>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</si>
  <si>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</si>
  <si>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</si>
  <si>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</si>
  <si>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</si>
  <si>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</si>
  <si>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</si>
  <si>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</si>
  <si>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</si>
  <si>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</si>
  <si>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</si>
  <si>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</si>
  <si>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</si>
  <si>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</si>
  <si>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</si>
  <si>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</si>
  <si>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</si>
  <si>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</si>
  <si>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</si>
  <si>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</si>
  <si>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</si>
  <si>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</si>
  <si>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</si>
  <si>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</si>
  <si>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</si>
  <si>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</si>
  <si>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</si>
  <si>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</si>
  <si>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</si>
  <si>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</si>
  <si>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</si>
  <si>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</si>
  <si>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</si>
  <si>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</si>
  <si>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</si>
  <si>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</si>
  <si>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</si>
  <si>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</si>
  <si>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</si>
  <si>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</si>
  <si>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</si>
  <si>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</si>
  <si>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</si>
  <si>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</si>
  <si>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</si>
  <si>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</si>
  <si>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</si>
  <si>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</si>
  <si>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JPN_S</t>
  </si>
  <si>
    <t>+2 круга</t>
  </si>
  <si>
    <t>01:26:07</t>
  </si>
  <si>
    <t>+9.472</t>
  </si>
  <si>
    <t>+3.494</t>
  </si>
  <si>
    <t>+9.005</t>
  </si>
  <si>
    <t>+11.667</t>
  </si>
  <si>
    <t>+13.920</t>
  </si>
  <si>
    <t>+0.326</t>
  </si>
  <si>
    <t>+7.306</t>
  </si>
  <si>
    <t>+2.730</t>
  </si>
  <si>
    <t>+14.067</t>
  </si>
  <si>
    <t>+2.729</t>
  </si>
  <si>
    <t>+1.426</t>
  </si>
  <si>
    <t>1:14.284</t>
  </si>
  <si>
    <t>1:14.057</t>
  </si>
  <si>
    <t>1:14.484</t>
  </si>
  <si>
    <t>1:15.517</t>
  </si>
  <si>
    <t>1:14.942</t>
  </si>
  <si>
    <t>1:14.891</t>
  </si>
  <si>
    <t>1:13.952</t>
  </si>
  <si>
    <t>1:15.158</t>
  </si>
  <si>
    <t>1:14.407</t>
  </si>
  <si>
    <t>1:15.774</t>
  </si>
  <si>
    <t>1:15.402</t>
  </si>
  <si>
    <t>1:15.915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</si>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</sst>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FF8700"/>
      <color rgb="FF1E41FF"/>
      <color rgb="FFB9DCFF"/>
      <color rgb="FFDC0000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zoomScale="85" zoomScaleNormal="85" workbookViewId="0">
      <selection activeCell="T30" sqref="T30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52</v>
      </c>
      <c r="C2" s="36">
        <v>25</v>
      </c>
      <c r="D2" s="36">
        <v>18</v>
      </c>
      <c r="E2" s="36">
        <v>25</v>
      </c>
      <c r="F2" s="36">
        <v>18</v>
      </c>
      <c r="G2" s="36">
        <v>18</v>
      </c>
      <c r="H2" s="36">
        <v>15</v>
      </c>
      <c r="I2" s="36">
        <v>18</v>
      </c>
      <c r="J2" s="36">
        <v>8</v>
      </c>
      <c r="K2" s="36">
        <v>25</v>
      </c>
      <c r="L2" s="36">
        <v>15</v>
      </c>
      <c r="M2" s="36">
        <v>18</v>
      </c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36">
        <f>SUM(C2:AC2)</f>
        <v>203</v>
      </c>
    </row>
    <row r="3" spans="1:30" x14ac:dyDescent="0.35">
      <c r="A3" s="32">
        <v>2</v>
      </c>
      <c r="B3" s="36" t="s">
        <v>51</v>
      </c>
      <c r="C3" s="36">
        <v>18</v>
      </c>
      <c r="D3" s="36">
        <v>25</v>
      </c>
      <c r="E3" s="36">
        <v>12</v>
      </c>
      <c r="F3" s="36">
        <v>15</v>
      </c>
      <c r="G3" s="36">
        <v>15</v>
      </c>
      <c r="H3" s="36">
        <v>18</v>
      </c>
      <c r="I3" s="36">
        <v>25</v>
      </c>
      <c r="J3" s="36">
        <v>2</v>
      </c>
      <c r="K3" s="36">
        <v>18</v>
      </c>
      <c r="L3" s="36">
        <v>12</v>
      </c>
      <c r="M3" s="36">
        <v>25</v>
      </c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36">
        <f>SUM(C3:AC3)</f>
        <v>185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2"/>
      <c r="AD4" s="37">
        <f>SUM(C4:AC4)</f>
        <v>152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40">
        <f>SUM(C5:AC5)</f>
        <v>114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45">
        <f>SUM(C6:AC6)</f>
        <v>98</v>
      </c>
    </row>
    <row r="7" spans="1:30" x14ac:dyDescent="0.35">
      <c r="A7" s="30">
        <v>6</v>
      </c>
      <c r="B7" s="38" t="s">
        <v>55</v>
      </c>
      <c r="C7" s="38">
        <v>4</v>
      </c>
      <c r="D7" s="38">
        <v>10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/>
      <c r="M7" s="38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38">
        <f>SUM(C7:AC7)</f>
        <v>71</v>
      </c>
    </row>
    <row r="8" spans="1:30" x14ac:dyDescent="0.35">
      <c r="A8" s="30">
        <v>7</v>
      </c>
      <c r="B8" s="41" t="s">
        <v>54</v>
      </c>
      <c r="C8" s="41">
        <v>2</v>
      </c>
      <c r="D8" s="41"/>
      <c r="E8" s="41">
        <v>4</v>
      </c>
      <c r="F8" s="41"/>
      <c r="G8" s="41">
        <v>1</v>
      </c>
      <c r="H8" s="41">
        <v>10</v>
      </c>
      <c r="I8" s="41">
        <v>8</v>
      </c>
      <c r="J8" s="41">
        <v>1</v>
      </c>
      <c r="K8" s="41">
        <v>8</v>
      </c>
      <c r="L8" s="41">
        <v>10</v>
      </c>
      <c r="M8" s="41">
        <v>10</v>
      </c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41">
        <f>SUM(C8:AC8)</f>
        <v>54</v>
      </c>
    </row>
    <row r="9" spans="1:30" x14ac:dyDescent="0.35">
      <c r="A9" s="30">
        <v>8</v>
      </c>
      <c r="B9" s="60" t="s">
        <v>63</v>
      </c>
      <c r="C9" s="60">
        <v>10</v>
      </c>
      <c r="D9" s="60">
        <v>15</v>
      </c>
      <c r="E9" s="60">
        <v>10</v>
      </c>
      <c r="F9" s="60">
        <v>1</v>
      </c>
      <c r="G9" s="60">
        <v>4</v>
      </c>
      <c r="H9" s="60"/>
      <c r="I9" s="60">
        <v>1</v>
      </c>
      <c r="J9" s="60"/>
      <c r="K9" s="60">
        <v>2</v>
      </c>
      <c r="L9" s="60">
        <v>8</v>
      </c>
      <c r="M9" s="60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0">
        <f>SUM(C9:AC9)</f>
        <v>51</v>
      </c>
    </row>
    <row r="10" spans="1:30" x14ac:dyDescent="0.35">
      <c r="A10" s="30">
        <v>9</v>
      </c>
      <c r="B10" s="37" t="s">
        <v>53</v>
      </c>
      <c r="C10" s="37">
        <v>6</v>
      </c>
      <c r="D10" s="37">
        <v>2</v>
      </c>
      <c r="E10" s="37">
        <v>8</v>
      </c>
      <c r="F10" s="37">
        <v>8</v>
      </c>
      <c r="G10" s="37">
        <v>8</v>
      </c>
      <c r="H10" s="37"/>
      <c r="I10" s="37">
        <v>2</v>
      </c>
      <c r="J10" s="37">
        <v>3</v>
      </c>
      <c r="K10" s="37">
        <v>4</v>
      </c>
      <c r="L10" s="37"/>
      <c r="M10" s="37">
        <v>6</v>
      </c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37">
        <f>SUM(C10:AC10)</f>
        <v>47</v>
      </c>
    </row>
    <row r="11" spans="1:30" x14ac:dyDescent="0.35">
      <c r="A11" s="30">
        <v>10</v>
      </c>
      <c r="B11" s="41" t="s">
        <v>136</v>
      </c>
      <c r="C11" s="41"/>
      <c r="D11" s="41"/>
      <c r="E11" s="41"/>
      <c r="F11" s="41">
        <v>4</v>
      </c>
      <c r="G11" s="41"/>
      <c r="H11" s="41">
        <v>8</v>
      </c>
      <c r="I11" s="41" t="s">
        <v>66</v>
      </c>
      <c r="J11" s="41"/>
      <c r="K11" s="41"/>
      <c r="L11" s="41">
        <v>4</v>
      </c>
      <c r="M11" s="41">
        <v>4</v>
      </c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41">
        <f>SUM(C11:AC11)</f>
        <v>20</v>
      </c>
    </row>
    <row r="12" spans="1:30" x14ac:dyDescent="0.35">
      <c r="A12" s="30">
        <v>11</v>
      </c>
      <c r="B12" s="45" t="s">
        <v>73</v>
      </c>
      <c r="C12" s="45"/>
      <c r="D12" s="45"/>
      <c r="E12" s="45"/>
      <c r="F12" s="45">
        <v>6</v>
      </c>
      <c r="G12" s="45"/>
      <c r="H12" s="45"/>
      <c r="I12" s="45"/>
      <c r="J12" s="45"/>
      <c r="K12" s="45"/>
      <c r="L12" s="58"/>
      <c r="M12" s="45">
        <v>8</v>
      </c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0"/>
      <c r="AC12" s="70"/>
      <c r="AD12" s="45">
        <f>SUM(C12:AC12)</f>
        <v>14</v>
      </c>
    </row>
    <row r="13" spans="1:30" x14ac:dyDescent="0.35">
      <c r="A13" s="30">
        <v>12</v>
      </c>
      <c r="B13" s="44" t="s">
        <v>60</v>
      </c>
      <c r="C13" s="44"/>
      <c r="D13" s="44"/>
      <c r="E13" s="44"/>
      <c r="F13" s="44"/>
      <c r="G13" s="44"/>
      <c r="H13" s="44">
        <v>4</v>
      </c>
      <c r="I13" s="44"/>
      <c r="J13" s="44"/>
      <c r="K13" s="44" t="s">
        <v>66</v>
      </c>
      <c r="L13" s="44">
        <v>6</v>
      </c>
      <c r="M13" s="44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44">
        <f>SUM(C13:AC13)</f>
        <v>10</v>
      </c>
    </row>
    <row r="14" spans="1:30" x14ac:dyDescent="0.35">
      <c r="A14" s="30">
        <v>13</v>
      </c>
      <c r="B14" s="38" t="s">
        <v>65</v>
      </c>
      <c r="C14" s="38"/>
      <c r="D14" s="38">
        <v>6</v>
      </c>
      <c r="E14" s="38"/>
      <c r="F14" s="38"/>
      <c r="G14" s="38"/>
      <c r="H14" s="38"/>
      <c r="I14" s="38"/>
      <c r="J14" s="38"/>
      <c r="K14" s="38"/>
      <c r="L14" s="38">
        <v>2</v>
      </c>
      <c r="M14" s="38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38">
        <f>SUM(C14:AC14)</f>
        <v>8</v>
      </c>
    </row>
    <row r="15" spans="1:30" x14ac:dyDescent="0.35">
      <c r="A15" s="30">
        <v>14</v>
      </c>
      <c r="B15" s="34" t="s">
        <v>64</v>
      </c>
      <c r="C15" s="34"/>
      <c r="D15" s="34"/>
      <c r="E15" s="34">
        <v>6</v>
      </c>
      <c r="F15" s="34"/>
      <c r="G15" s="34"/>
      <c r="H15" s="34">
        <v>1</v>
      </c>
      <c r="I15" s="34"/>
      <c r="J15" s="34"/>
      <c r="K15" s="34"/>
      <c r="L15" s="34" t="s">
        <v>66</v>
      </c>
      <c r="M15" s="34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34">
        <f>SUM(C15:AC15)</f>
        <v>7</v>
      </c>
    </row>
    <row r="16" spans="1:30" x14ac:dyDescent="0.35">
      <c r="A16" s="30">
        <v>15</v>
      </c>
      <c r="B16" s="39" t="s">
        <v>56</v>
      </c>
      <c r="C16" s="58">
        <v>2</v>
      </c>
      <c r="D16" s="39" t="s">
        <v>66</v>
      </c>
      <c r="E16" s="39"/>
      <c r="F16" s="39"/>
      <c r="G16" s="39">
        <v>2</v>
      </c>
      <c r="H16" s="39"/>
      <c r="I16" s="39"/>
      <c r="J16" s="39"/>
      <c r="K16" s="39">
        <v>1</v>
      </c>
      <c r="L16" s="39"/>
      <c r="M16" s="39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39">
        <f>SUM(C16:AC16)</f>
        <v>5</v>
      </c>
    </row>
    <row r="17" spans="1:30" x14ac:dyDescent="0.35">
      <c r="A17" s="30">
        <v>16</v>
      </c>
      <c r="B17" s="46" t="s">
        <v>134</v>
      </c>
      <c r="C17" s="46"/>
      <c r="D17" s="46">
        <v>1</v>
      </c>
      <c r="E17" s="46">
        <v>2</v>
      </c>
      <c r="F17" s="46"/>
      <c r="G17" s="46"/>
      <c r="H17" s="46">
        <v>2</v>
      </c>
      <c r="I17" s="46"/>
      <c r="J17" s="46"/>
      <c r="K17" s="46"/>
      <c r="L17" s="46"/>
      <c r="M17" s="46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46">
        <f>SUM(C17:AC17)</f>
        <v>5</v>
      </c>
    </row>
    <row r="18" spans="1:30" x14ac:dyDescent="0.35">
      <c r="A18" s="30">
        <v>17</v>
      </c>
      <c r="B18" s="43" t="s">
        <v>62</v>
      </c>
      <c r="C18" s="43"/>
      <c r="D18" s="43">
        <v>4</v>
      </c>
      <c r="E18" s="43"/>
      <c r="F18" s="43"/>
      <c r="G18" s="43"/>
      <c r="H18" s="43"/>
      <c r="I18" s="43"/>
      <c r="J18" s="43"/>
      <c r="K18" s="43"/>
      <c r="L18" s="43" t="s">
        <v>66</v>
      </c>
      <c r="M18" s="43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43">
        <f>SUM(C18:AC18)</f>
        <v>4</v>
      </c>
    </row>
    <row r="19" spans="1:30" x14ac:dyDescent="0.35">
      <c r="A19" s="30">
        <v>18</v>
      </c>
      <c r="B19" s="39" t="s">
        <v>50</v>
      </c>
      <c r="C19" s="39"/>
      <c r="D19" s="39" t="s">
        <v>66</v>
      </c>
      <c r="E19" s="39" t="s">
        <v>66</v>
      </c>
      <c r="F19" s="39"/>
      <c r="G19" s="39" t="s">
        <v>66</v>
      </c>
      <c r="H19" s="39"/>
      <c r="I19" s="39">
        <v>4</v>
      </c>
      <c r="J19" s="39"/>
      <c r="K19" s="39"/>
      <c r="L19" s="39"/>
      <c r="M19" s="58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39">
        <f>SUM(C19:AC19)</f>
        <v>4</v>
      </c>
    </row>
    <row r="20" spans="1:30" x14ac:dyDescent="0.35">
      <c r="A20" s="30">
        <v>19</v>
      </c>
      <c r="B20" s="44" t="s">
        <v>58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>
        <v>1</v>
      </c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44">
        <f>SUM(C20:AC20)</f>
        <v>1</v>
      </c>
    </row>
    <row r="21" spans="1:30" x14ac:dyDescent="0.35">
      <c r="A21" s="30">
        <v>20</v>
      </c>
      <c r="B21" s="34" t="s">
        <v>135</v>
      </c>
      <c r="C21" s="34"/>
      <c r="D21" s="34" t="s">
        <v>66</v>
      </c>
      <c r="E21" s="34"/>
      <c r="F21" s="34"/>
      <c r="G21" s="34"/>
      <c r="H21" s="34" t="s">
        <v>66</v>
      </c>
      <c r="I21" s="34"/>
      <c r="J21" s="34"/>
      <c r="K21" s="34"/>
      <c r="L21" s="34"/>
      <c r="M21" s="34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34">
        <f>SUM(C21:AC21)</f>
        <v>0</v>
      </c>
    </row>
    <row r="22" spans="1:30" x14ac:dyDescent="0.35">
      <c r="A22" s="30">
        <v>21</v>
      </c>
      <c r="B22" s="43" t="s">
        <v>137</v>
      </c>
      <c r="C22" s="43"/>
      <c r="D22" s="43" t="s">
        <v>66</v>
      </c>
      <c r="E22" s="43"/>
      <c r="F22" s="43"/>
      <c r="G22" s="43" t="s">
        <v>66</v>
      </c>
      <c r="H22" s="43"/>
      <c r="I22" s="43"/>
      <c r="J22" s="43"/>
      <c r="K22" s="43"/>
      <c r="L22" s="43"/>
      <c r="M22" s="43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43">
        <f>SUM(C22:AC22)</f>
        <v>0</v>
      </c>
    </row>
    <row r="23" spans="1:30" x14ac:dyDescent="0.35">
      <c r="A23" s="30">
        <v>22</v>
      </c>
      <c r="B23" s="46" t="s">
        <v>57</v>
      </c>
      <c r="C23" s="46"/>
      <c r="D23" s="46"/>
      <c r="E23" s="46"/>
      <c r="F23" s="46"/>
      <c r="G23" s="46"/>
      <c r="H23" s="46"/>
      <c r="I23" s="59"/>
      <c r="J23" s="46"/>
      <c r="K23" s="46"/>
      <c r="L23" s="46"/>
      <c r="M23" s="46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46">
        <f>SUM(C23:AC23)</f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N22" sqref="N22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36">
        <f>SUM(C2:AC2)</f>
        <v>388</v>
      </c>
    </row>
    <row r="3" spans="1:30" x14ac:dyDescent="0.35">
      <c r="A3" s="32">
        <v>2</v>
      </c>
      <c r="B3" s="37" t="s">
        <v>11</v>
      </c>
      <c r="C3" s="37">
        <v>18</v>
      </c>
      <c r="D3" s="58">
        <v>11</v>
      </c>
      <c r="E3" s="37">
        <v>26</v>
      </c>
      <c r="F3" s="37">
        <v>33</v>
      </c>
      <c r="G3" s="58">
        <v>34</v>
      </c>
      <c r="H3" s="37"/>
      <c r="I3" s="37">
        <v>12</v>
      </c>
      <c r="J3" s="58">
        <v>9</v>
      </c>
      <c r="K3" s="37">
        <v>10</v>
      </c>
      <c r="L3" s="37">
        <v>25</v>
      </c>
      <c r="M3" s="37">
        <v>21</v>
      </c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37">
        <f>SUM(C3:AC3)</f>
        <v>199</v>
      </c>
    </row>
    <row r="4" spans="1:30" x14ac:dyDescent="0.35">
      <c r="A4" s="33">
        <v>3</v>
      </c>
      <c r="B4" s="40" t="s">
        <v>14</v>
      </c>
      <c r="C4" s="40">
        <v>25</v>
      </c>
      <c r="D4" s="40">
        <v>15</v>
      </c>
      <c r="E4" s="59">
        <v>12</v>
      </c>
      <c r="F4" s="40">
        <v>11</v>
      </c>
      <c r="G4" s="40">
        <v>10</v>
      </c>
      <c r="H4" s="59">
        <v>26</v>
      </c>
      <c r="I4" s="40">
        <v>16</v>
      </c>
      <c r="J4" s="40">
        <v>7</v>
      </c>
      <c r="K4" s="59">
        <v>15</v>
      </c>
      <c r="L4" s="40">
        <v>26</v>
      </c>
      <c r="M4" s="40">
        <v>2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40">
        <f>SUM(C4:AC4)</f>
        <v>165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  <c r="AD5" s="45">
        <f>SUM(C5:AC5)</f>
        <v>112</v>
      </c>
    </row>
    <row r="6" spans="1:30" x14ac:dyDescent="0.35">
      <c r="A6" s="30">
        <v>5</v>
      </c>
      <c r="B6" s="38" t="s">
        <v>12</v>
      </c>
      <c r="C6" s="38">
        <v>4</v>
      </c>
      <c r="D6" s="38">
        <v>16</v>
      </c>
      <c r="E6" s="38"/>
      <c r="F6" s="59">
        <v>13</v>
      </c>
      <c r="G6" s="38">
        <v>12</v>
      </c>
      <c r="H6" s="38">
        <v>6</v>
      </c>
      <c r="I6" s="38">
        <v>12</v>
      </c>
      <c r="J6" s="38">
        <v>4</v>
      </c>
      <c r="K6" s="38">
        <v>10</v>
      </c>
      <c r="L6" s="38">
        <v>2</v>
      </c>
      <c r="M6" s="38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38">
        <f>SUM(C6:AC6)</f>
        <v>79</v>
      </c>
    </row>
    <row r="7" spans="1:30" x14ac:dyDescent="0.35">
      <c r="A7" s="30">
        <v>6</v>
      </c>
      <c r="B7" s="41" t="s">
        <v>15</v>
      </c>
      <c r="C7" s="41">
        <v>2</v>
      </c>
      <c r="D7" s="41"/>
      <c r="E7" s="41">
        <v>4</v>
      </c>
      <c r="F7" s="41">
        <v>4</v>
      </c>
      <c r="G7" s="41">
        <v>1</v>
      </c>
      <c r="H7" s="41">
        <v>18</v>
      </c>
      <c r="I7" s="41">
        <v>8</v>
      </c>
      <c r="J7" s="41">
        <v>1</v>
      </c>
      <c r="K7" s="41">
        <v>8</v>
      </c>
      <c r="L7" s="41">
        <v>14</v>
      </c>
      <c r="M7" s="41">
        <v>14</v>
      </c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41">
        <f>SUM(C7:AC7)</f>
        <v>74</v>
      </c>
    </row>
    <row r="8" spans="1:30" x14ac:dyDescent="0.35">
      <c r="A8" s="30">
        <v>7</v>
      </c>
      <c r="B8" s="44" t="s">
        <v>16</v>
      </c>
      <c r="C8" s="44"/>
      <c r="D8" s="44"/>
      <c r="E8" s="44"/>
      <c r="F8" s="44"/>
      <c r="G8" s="44"/>
      <c r="H8" s="44">
        <v>4</v>
      </c>
      <c r="I8" s="44"/>
      <c r="J8" s="44"/>
      <c r="K8" s="44"/>
      <c r="L8" s="44">
        <v>6</v>
      </c>
      <c r="M8" s="44">
        <v>1</v>
      </c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44">
        <f>SUM(C8:AC8)</f>
        <v>11</v>
      </c>
    </row>
    <row r="9" spans="1:30" x14ac:dyDescent="0.35">
      <c r="A9" s="30">
        <v>8</v>
      </c>
      <c r="B9" s="39" t="s">
        <v>13</v>
      </c>
      <c r="C9" s="58">
        <v>2</v>
      </c>
      <c r="D9" s="39"/>
      <c r="E9" s="39"/>
      <c r="F9" s="39"/>
      <c r="G9" s="39">
        <v>2</v>
      </c>
      <c r="H9" s="39"/>
      <c r="I9" s="39">
        <v>4</v>
      </c>
      <c r="J9" s="39"/>
      <c r="K9" s="39">
        <v>1</v>
      </c>
      <c r="L9" s="39"/>
      <c r="M9" s="58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39">
        <f>SUM(C9:AC9)</f>
        <v>9</v>
      </c>
    </row>
    <row r="10" spans="1:30" x14ac:dyDescent="0.35">
      <c r="A10" s="30">
        <v>9</v>
      </c>
      <c r="B10" s="42" t="s">
        <v>19</v>
      </c>
      <c r="C10" s="42"/>
      <c r="D10" s="42"/>
      <c r="E10" s="42">
        <v>6</v>
      </c>
      <c r="F10" s="42"/>
      <c r="G10" s="42"/>
      <c r="H10" s="42">
        <v>1</v>
      </c>
      <c r="I10" s="42"/>
      <c r="J10" s="42"/>
      <c r="K10" s="42"/>
      <c r="L10" s="42"/>
      <c r="M10" s="4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34">
        <f>SUM(C10:AC10)</f>
        <v>7</v>
      </c>
    </row>
    <row r="11" spans="1:30" x14ac:dyDescent="0.35">
      <c r="A11" s="30">
        <v>10</v>
      </c>
      <c r="B11" s="46" t="s">
        <v>18</v>
      </c>
      <c r="C11" s="46"/>
      <c r="D11" s="46">
        <v>1</v>
      </c>
      <c r="E11" s="46">
        <v>2</v>
      </c>
      <c r="F11" s="46"/>
      <c r="G11" s="46"/>
      <c r="H11" s="46">
        <v>2</v>
      </c>
      <c r="I11" s="59"/>
      <c r="J11" s="46"/>
      <c r="K11" s="46"/>
      <c r="L11" s="46"/>
      <c r="M11" s="46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46">
        <f>SUM(C11:AC11)</f>
        <v>5</v>
      </c>
    </row>
    <row r="12" spans="1:30" x14ac:dyDescent="0.35">
      <c r="A12" s="30">
        <v>11</v>
      </c>
      <c r="B12" s="43" t="s">
        <v>20</v>
      </c>
      <c r="C12" s="43"/>
      <c r="D12" s="43">
        <v>4</v>
      </c>
      <c r="E12" s="43"/>
      <c r="F12" s="43"/>
      <c r="G12" s="43"/>
      <c r="H12" s="43"/>
      <c r="I12" s="43"/>
      <c r="J12" s="43"/>
      <c r="K12" s="43"/>
      <c r="L12" s="43"/>
      <c r="M12" s="43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43">
        <f>SUM(C12:AC12)</f>
        <v>4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3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3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3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3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3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abSelected="1" topLeftCell="A22" zoomScale="130" zoomScaleNormal="130" workbookViewId="0">
      <selection activeCell="G39" sqref="G39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</v>
      </c>
      <c r="C3" s="36" t="s">
        <v>21</v>
      </c>
      <c r="D3" s="27"/>
    </row>
    <row r="4" spans="1:4" x14ac:dyDescent="0.35">
      <c r="A4" s="47">
        <v>2</v>
      </c>
      <c r="B4" s="45" t="s">
        <v>133</v>
      </c>
      <c r="C4" s="45" t="s">
        <v>17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37" t="s">
        <v>53</v>
      </c>
      <c r="C6" s="37" t="s">
        <v>11</v>
      </c>
      <c r="D6" s="28"/>
    </row>
    <row r="7" spans="1:4" x14ac:dyDescent="0.35">
      <c r="A7" s="47">
        <v>5</v>
      </c>
      <c r="B7" s="40" t="s">
        <v>59</v>
      </c>
      <c r="C7" s="40" t="s">
        <v>14</v>
      </c>
      <c r="D7" s="27"/>
    </row>
    <row r="8" spans="1:4" x14ac:dyDescent="0.35">
      <c r="A8" s="47">
        <v>6</v>
      </c>
      <c r="B8" s="41" t="s">
        <v>54</v>
      </c>
      <c r="C8" s="41" t="s">
        <v>15</v>
      </c>
      <c r="D8" s="27"/>
    </row>
    <row r="9" spans="1:4" x14ac:dyDescent="0.35">
      <c r="A9" s="47">
        <v>7</v>
      </c>
      <c r="B9" s="37" t="s">
        <v>49</v>
      </c>
      <c r="C9" s="37" t="s">
        <v>11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43" t="s">
        <v>137</v>
      </c>
      <c r="C11" s="43" t="s">
        <v>20</v>
      </c>
      <c r="D11" s="28"/>
    </row>
    <row r="12" spans="1:4" x14ac:dyDescent="0.35">
      <c r="A12" s="47">
        <v>10</v>
      </c>
      <c r="B12" s="44" t="s">
        <v>60</v>
      </c>
      <c r="C12" s="44" t="s">
        <v>16</v>
      </c>
      <c r="D12" s="28"/>
    </row>
    <row r="13" spans="1:4" x14ac:dyDescent="0.35">
      <c r="A13" s="47">
        <v>11</v>
      </c>
      <c r="B13" s="45" t="s">
        <v>73</v>
      </c>
      <c r="C13" s="45" t="s">
        <v>17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38" t="s">
        <v>55</v>
      </c>
      <c r="C15" s="38" t="s">
        <v>12</v>
      </c>
      <c r="D15" s="28"/>
    </row>
    <row r="16" spans="1:4" x14ac:dyDescent="0.35">
      <c r="A16" s="47">
        <v>14</v>
      </c>
      <c r="B16" s="41" t="s">
        <v>136</v>
      </c>
      <c r="C16" s="41" t="s">
        <v>15</v>
      </c>
      <c r="D16" s="27"/>
    </row>
    <row r="17" spans="1:6" x14ac:dyDescent="0.35">
      <c r="A17" s="47">
        <v>15</v>
      </c>
      <c r="B17" s="39" t="s">
        <v>56</v>
      </c>
      <c r="C17" s="39" t="s">
        <v>13</v>
      </c>
      <c r="D17" s="28"/>
    </row>
    <row r="18" spans="1:6" x14ac:dyDescent="0.35">
      <c r="A18" s="47">
        <v>16</v>
      </c>
      <c r="B18" s="44" t="s">
        <v>58</v>
      </c>
      <c r="C18" s="44" t="s">
        <v>16</v>
      </c>
      <c r="D18" s="27"/>
    </row>
    <row r="19" spans="1:6" x14ac:dyDescent="0.35">
      <c r="A19" s="47">
        <v>17</v>
      </c>
      <c r="B19" s="46" t="s">
        <v>134</v>
      </c>
      <c r="C19" s="46" t="s">
        <v>18</v>
      </c>
      <c r="D19" s="28"/>
    </row>
    <row r="20" spans="1:6" x14ac:dyDescent="0.35">
      <c r="A20" s="47">
        <v>18</v>
      </c>
      <c r="B20" s="39" t="s">
        <v>50</v>
      </c>
      <c r="C20" s="39" t="s">
        <v>13</v>
      </c>
      <c r="D20" s="28"/>
    </row>
    <row r="21" spans="1:6" x14ac:dyDescent="0.35">
      <c r="A21" s="47">
        <v>19</v>
      </c>
      <c r="B21" s="43" t="s">
        <v>62</v>
      </c>
      <c r="C21" s="43" t="s">
        <v>20</v>
      </c>
      <c r="D21" s="28"/>
    </row>
    <row r="22" spans="1:6" x14ac:dyDescent="0.35">
      <c r="A22" s="47">
        <v>20</v>
      </c>
      <c r="B22" s="46" t="s">
        <v>57</v>
      </c>
      <c r="C22" s="46" t="s">
        <v>18</v>
      </c>
      <c r="D22" s="28"/>
    </row>
    <row r="23" spans="1:6" x14ac:dyDescent="0.35">
      <c r="A23" s="47">
        <v>21</v>
      </c>
      <c r="B23" s="34" t="s">
        <v>135</v>
      </c>
      <c r="C23" s="42" t="s">
        <v>19</v>
      </c>
      <c r="D23" s="27"/>
    </row>
    <row r="24" spans="1:6" x14ac:dyDescent="0.35">
      <c r="A24" s="47">
        <v>22</v>
      </c>
      <c r="B24" s="38" t="s">
        <v>65</v>
      </c>
      <c r="C24" s="38" t="s">
        <v>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</v>
      </c>
      <c r="C28" s="36" t="s">
        <v>21</v>
      </c>
      <c r="D28" s="16" t="s">
        <v>563</v>
      </c>
      <c r="E28" s="50" t="s">
        <v>551</v>
      </c>
      <c r="F28" s="36">
        <v>25</v>
      </c>
    </row>
    <row r="29" spans="1:6" x14ac:dyDescent="0.35">
      <c r="A29" s="47">
        <v>2</v>
      </c>
      <c r="B29" s="36" t="s">
        <v>52</v>
      </c>
      <c r="C29" s="36" t="s">
        <v>21</v>
      </c>
      <c r="D29" s="16" t="s">
        <v>564</v>
      </c>
      <c r="E29" s="50" t="s">
        <v>552</v>
      </c>
      <c r="F29" s="36">
        <v>18</v>
      </c>
    </row>
    <row r="30" spans="1:6" x14ac:dyDescent="0.35">
      <c r="A30" s="47">
        <v>3</v>
      </c>
      <c r="B30" s="37" t="s">
        <v>49</v>
      </c>
      <c r="C30" s="37" t="s">
        <v>11</v>
      </c>
      <c r="D30" s="14" t="s">
        <v>565</v>
      </c>
      <c r="E30" s="48" t="s">
        <v>553</v>
      </c>
      <c r="F30" s="37">
        <v>15</v>
      </c>
    </row>
    <row r="31" spans="1:6" x14ac:dyDescent="0.35">
      <c r="A31" s="47">
        <v>4</v>
      </c>
      <c r="B31" s="45" t="s">
        <v>133</v>
      </c>
      <c r="C31" s="45" t="s">
        <v>17</v>
      </c>
      <c r="D31" s="24" t="s">
        <v>566</v>
      </c>
      <c r="E31" s="57" t="s">
        <v>554</v>
      </c>
      <c r="F31" s="45">
        <v>12</v>
      </c>
    </row>
    <row r="32" spans="1:6" x14ac:dyDescent="0.35">
      <c r="A32" s="47">
        <v>5</v>
      </c>
      <c r="B32" s="41" t="s">
        <v>54</v>
      </c>
      <c r="C32" s="41" t="s">
        <v>15</v>
      </c>
      <c r="D32" s="18" t="s">
        <v>567</v>
      </c>
      <c r="E32" s="52" t="s">
        <v>555</v>
      </c>
      <c r="F32" s="41">
        <v>10</v>
      </c>
    </row>
    <row r="33" spans="1:6" x14ac:dyDescent="0.35">
      <c r="A33" s="47">
        <v>6</v>
      </c>
      <c r="B33" s="45" t="s">
        <v>73</v>
      </c>
      <c r="C33" s="45" t="s">
        <v>17</v>
      </c>
      <c r="D33" s="45" t="s">
        <v>568</v>
      </c>
      <c r="E33" s="57" t="s">
        <v>556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569</v>
      </c>
      <c r="E34" s="48" t="s">
        <v>557</v>
      </c>
      <c r="F34" s="37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570</v>
      </c>
      <c r="E35" s="52" t="s">
        <v>558</v>
      </c>
      <c r="F35" s="41">
        <v>4</v>
      </c>
    </row>
    <row r="36" spans="1:6" x14ac:dyDescent="0.35">
      <c r="A36" s="47">
        <v>9</v>
      </c>
      <c r="B36" s="40" t="s">
        <v>59</v>
      </c>
      <c r="C36" s="40" t="s">
        <v>14</v>
      </c>
      <c r="D36" s="21" t="s">
        <v>571</v>
      </c>
      <c r="E36" s="55" t="s">
        <v>559</v>
      </c>
      <c r="F36" s="40">
        <v>2</v>
      </c>
    </row>
    <row r="37" spans="1:6" x14ac:dyDescent="0.35">
      <c r="A37" s="47">
        <v>10</v>
      </c>
      <c r="B37" s="44" t="s">
        <v>58</v>
      </c>
      <c r="C37" s="44" t="s">
        <v>16</v>
      </c>
      <c r="D37" s="20" t="s">
        <v>572</v>
      </c>
      <c r="E37" s="54" t="s">
        <v>560</v>
      </c>
      <c r="F37" s="44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573</v>
      </c>
      <c r="E38" s="51" t="s">
        <v>561</v>
      </c>
      <c r="F38" s="38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574</v>
      </c>
      <c r="E39" s="54" t="s">
        <v>562</v>
      </c>
      <c r="F39" s="44">
        <v>0</v>
      </c>
    </row>
    <row r="40" spans="1:6" x14ac:dyDescent="0.35">
      <c r="A40" s="47">
        <v>13</v>
      </c>
      <c r="B40" s="39" t="s">
        <v>56</v>
      </c>
      <c r="C40" s="39" t="s">
        <v>13</v>
      </c>
      <c r="D40" s="15" t="s">
        <v>575</v>
      </c>
      <c r="E40" s="49" t="s">
        <v>71</v>
      </c>
      <c r="F40" s="39">
        <v>0</v>
      </c>
    </row>
    <row r="41" spans="1:6" x14ac:dyDescent="0.35">
      <c r="A41" s="47">
        <v>14</v>
      </c>
      <c r="B41" s="60" t="s">
        <v>63</v>
      </c>
      <c r="C41" s="40" t="s">
        <v>14</v>
      </c>
      <c r="D41" s="21" t="s">
        <v>576</v>
      </c>
      <c r="E41" s="55" t="s">
        <v>71</v>
      </c>
      <c r="F41" s="40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577</v>
      </c>
      <c r="E42" s="53" t="s">
        <v>71</v>
      </c>
      <c r="F42" s="46">
        <v>0</v>
      </c>
    </row>
    <row r="43" spans="1:6" x14ac:dyDescent="0.35">
      <c r="A43" s="47">
        <v>16</v>
      </c>
      <c r="B43" s="34" t="s">
        <v>135</v>
      </c>
      <c r="C43" s="42" t="s">
        <v>19</v>
      </c>
      <c r="D43" s="74" t="s">
        <v>578</v>
      </c>
      <c r="E43" s="73" t="s">
        <v>71</v>
      </c>
      <c r="F43" s="34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579</v>
      </c>
      <c r="E44" s="56" t="s">
        <v>71</v>
      </c>
      <c r="F44" s="43">
        <v>0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580</v>
      </c>
      <c r="E45" s="51" t="s">
        <v>71</v>
      </c>
      <c r="F45" s="38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22" t="s">
        <v>581</v>
      </c>
      <c r="E46" s="49" t="s">
        <v>71</v>
      </c>
      <c r="F46" s="39">
        <v>0</v>
      </c>
    </row>
    <row r="47" spans="1:6" x14ac:dyDescent="0.35">
      <c r="A47" s="47">
        <v>20</v>
      </c>
      <c r="B47" s="34" t="s">
        <v>64</v>
      </c>
      <c r="C47" s="42" t="s">
        <v>19</v>
      </c>
      <c r="D47" s="74" t="s">
        <v>582</v>
      </c>
      <c r="E47" s="73" t="s">
        <v>71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583</v>
      </c>
      <c r="E48" s="53" t="s">
        <v>71</v>
      </c>
      <c r="F48" s="46">
        <v>0</v>
      </c>
    </row>
    <row r="49" spans="1:6" x14ac:dyDescent="0.35">
      <c r="A49" s="47">
        <v>22</v>
      </c>
      <c r="B49" s="43" t="s">
        <v>62</v>
      </c>
      <c r="C49" s="43" t="s">
        <v>20</v>
      </c>
      <c r="D49" s="23" t="s">
        <v>584</v>
      </c>
      <c r="E49" s="56" t="s">
        <v>550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SUMIF($C$28:$C$44,B53,$F$28:$F$44)</f>
        <v>43</v>
      </c>
    </row>
    <row r="54" spans="1:6" x14ac:dyDescent="0.35">
      <c r="A54" s="47">
        <v>2</v>
      </c>
      <c r="B54" s="37" t="s">
        <v>11</v>
      </c>
      <c r="C54" s="37">
        <f>SUMIF($C$28:$C$44,B54,$F$28:$F$44)</f>
        <v>21</v>
      </c>
    </row>
    <row r="55" spans="1:6" x14ac:dyDescent="0.35">
      <c r="A55" s="47">
        <v>3</v>
      </c>
      <c r="B55" s="45" t="s">
        <v>17</v>
      </c>
      <c r="C55" s="45">
        <f>SUMIF($C$28:$C$44,B55,$F$28:$F$44)</f>
        <v>20</v>
      </c>
    </row>
    <row r="56" spans="1:6" x14ac:dyDescent="0.35">
      <c r="A56" s="47">
        <v>4</v>
      </c>
      <c r="B56" s="41" t="s">
        <v>15</v>
      </c>
      <c r="C56" s="41">
        <f>SUMIF($C$28:$C$44,B56,$F$28:$F$44)</f>
        <v>14</v>
      </c>
    </row>
    <row r="57" spans="1:6" x14ac:dyDescent="0.35">
      <c r="A57" s="47">
        <v>5</v>
      </c>
      <c r="B57" s="40" t="s">
        <v>14</v>
      </c>
      <c r="C57" s="40">
        <f>SUMIF($C$28:$C$44,B57,$F$28:$F$44)</f>
        <v>2</v>
      </c>
    </row>
    <row r="58" spans="1:6" x14ac:dyDescent="0.35">
      <c r="A58" s="47">
        <v>6</v>
      </c>
      <c r="B58" s="44" t="s">
        <v>16</v>
      </c>
      <c r="C58" s="44">
        <f>SUMIF($C$28:$C$44,B58,$F$28:$F$44)</f>
        <v>1</v>
      </c>
    </row>
    <row r="59" spans="1:6" x14ac:dyDescent="0.35">
      <c r="A59" s="47">
        <v>7</v>
      </c>
      <c r="B59" s="38" t="s">
        <v>12</v>
      </c>
      <c r="C59" s="38">
        <f>SUMIF($C$28:$C$44,B59,$F$28:$F$44)</f>
        <v>0</v>
      </c>
    </row>
    <row r="60" spans="1:6" x14ac:dyDescent="0.35">
      <c r="A60" s="47">
        <v>8</v>
      </c>
      <c r="B60" s="43" t="s">
        <v>20</v>
      </c>
      <c r="C60" s="43">
        <f>SUMIF($C$28:$C$44,B60,$F$28:$F$44)</f>
        <v>0</v>
      </c>
    </row>
    <row r="61" spans="1:6" x14ac:dyDescent="0.35">
      <c r="A61" s="47">
        <v>9</v>
      </c>
      <c r="B61" s="39" t="s">
        <v>13</v>
      </c>
      <c r="C61" s="39">
        <f>SUMIF($C$28:$C$44,B61,$F$28:$F$44)</f>
        <v>0</v>
      </c>
    </row>
    <row r="62" spans="1:6" x14ac:dyDescent="0.35">
      <c r="A62" s="47">
        <v>10</v>
      </c>
      <c r="B62" s="42" t="s">
        <v>19</v>
      </c>
      <c r="C62" s="42">
        <f>SUMIF($C$28:$C$44,B62,$F$28:$F$44)</f>
        <v>0</v>
      </c>
    </row>
    <row r="63" spans="1:6" x14ac:dyDescent="0.35">
      <c r="A63" s="47">
        <v>11</v>
      </c>
      <c r="B63" s="46" t="s">
        <v>18</v>
      </c>
      <c r="C63" s="46">
        <f>SUMIF($C$28:$C$44,B63,$F$28:$F$44)</f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A28" sqref="A1:B28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540</v>
      </c>
      <c r="B5" t="s">
        <v>43</v>
      </c>
    </row>
    <row r="6" spans="1:2" x14ac:dyDescent="0.35">
      <c r="A6" t="s">
        <v>522</v>
      </c>
      <c r="B6" t="s">
        <v>28</v>
      </c>
    </row>
    <row r="7" spans="1:2" x14ac:dyDescent="0.35">
      <c r="A7" t="s">
        <v>541</v>
      </c>
      <c r="B7" t="s">
        <v>44</v>
      </c>
    </row>
    <row r="8" spans="1:2" x14ac:dyDescent="0.35">
      <c r="A8" t="s">
        <v>526</v>
      </c>
      <c r="B8" t="s">
        <v>31</v>
      </c>
    </row>
    <row r="9" spans="1:2" x14ac:dyDescent="0.35">
      <c r="A9" s="35" t="s">
        <v>546</v>
      </c>
      <c r="B9" s="35" t="s">
        <v>547</v>
      </c>
    </row>
    <row r="10" spans="1:2" x14ac:dyDescent="0.35">
      <c r="A10" t="s">
        <v>524</v>
      </c>
      <c r="B10" t="s">
        <v>525</v>
      </c>
    </row>
    <row r="11" spans="1:2" x14ac:dyDescent="0.35">
      <c r="A11" t="s">
        <v>527</v>
      </c>
      <c r="B11" t="s">
        <v>32</v>
      </c>
    </row>
    <row r="12" spans="1:2" x14ac:dyDescent="0.35">
      <c r="A12" t="s">
        <v>528</v>
      </c>
      <c r="B12" t="s">
        <v>33</v>
      </c>
    </row>
    <row r="13" spans="1:2" x14ac:dyDescent="0.35">
      <c r="A13" t="s">
        <v>542</v>
      </c>
      <c r="B13" t="s">
        <v>45</v>
      </c>
    </row>
    <row r="14" spans="1:2" x14ac:dyDescent="0.35">
      <c r="A14" t="s">
        <v>530</v>
      </c>
      <c r="B14" t="s">
        <v>35</v>
      </c>
    </row>
    <row r="15" spans="1:2" x14ac:dyDescent="0.35">
      <c r="A15" t="s">
        <v>531</v>
      </c>
      <c r="B15" t="s">
        <v>36</v>
      </c>
    </row>
    <row r="16" spans="1:2" x14ac:dyDescent="0.35">
      <c r="A16" t="s">
        <v>533</v>
      </c>
      <c r="B16" t="s">
        <v>38</v>
      </c>
    </row>
    <row r="17" spans="1:2" x14ac:dyDescent="0.35">
      <c r="A17" t="s">
        <v>534</v>
      </c>
      <c r="B17" t="s">
        <v>535</v>
      </c>
    </row>
    <row r="18" spans="1:2" x14ac:dyDescent="0.35">
      <c r="A18" s="35" t="s">
        <v>548</v>
      </c>
      <c r="B18" s="35" t="s">
        <v>166</v>
      </c>
    </row>
    <row r="19" spans="1:2" x14ac:dyDescent="0.35">
      <c r="A19" t="s">
        <v>532</v>
      </c>
      <c r="B19" t="s">
        <v>37</v>
      </c>
    </row>
    <row r="20" spans="1:2" x14ac:dyDescent="0.35">
      <c r="A20" t="s">
        <v>536</v>
      </c>
      <c r="B20" t="s">
        <v>40</v>
      </c>
    </row>
    <row r="21" spans="1:2" x14ac:dyDescent="0.35">
      <c r="A21" t="s">
        <v>537</v>
      </c>
      <c r="B21" t="s">
        <v>41</v>
      </c>
    </row>
    <row r="22" spans="1:2" x14ac:dyDescent="0.35">
      <c r="A22" t="s">
        <v>523</v>
      </c>
      <c r="B22" t="s">
        <v>29</v>
      </c>
    </row>
    <row r="23" spans="1:2" x14ac:dyDescent="0.35">
      <c r="A23" t="s">
        <v>538</v>
      </c>
      <c r="B23" t="s">
        <v>539</v>
      </c>
    </row>
    <row r="24" spans="1:2" x14ac:dyDescent="0.35">
      <c r="A24" t="s">
        <v>529</v>
      </c>
      <c r="B24" t="s">
        <v>34</v>
      </c>
    </row>
    <row r="25" spans="1:2" x14ac:dyDescent="0.35">
      <c r="A25" s="35" t="s">
        <v>549</v>
      </c>
      <c r="B25" s="35" t="s">
        <v>167</v>
      </c>
    </row>
    <row r="26" spans="1:2" x14ac:dyDescent="0.35">
      <c r="A26" t="s">
        <v>521</v>
      </c>
      <c r="B26" t="s">
        <v>27</v>
      </c>
    </row>
    <row r="27" spans="1:2" x14ac:dyDescent="0.35">
      <c r="A27" t="s">
        <v>543</v>
      </c>
      <c r="B27" t="s">
        <v>46</v>
      </c>
    </row>
    <row r="28" spans="1:2" x14ac:dyDescent="0.35">
      <c r="A28" t="s">
        <v>544</v>
      </c>
      <c r="B28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2025-11-17T15:06:43Z</dcterms:modified>
</cp:coreProperties>
</file>