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A79EEFE2-E348-4451-9FAE-A2B02776741A}" xr6:coauthVersionLast="47" xr6:coauthVersionMax="47" xr10:uidLastSave="{00000000-0000-0000-0000-000000000000}"/>
  <bookViews>
    <workbookView xWindow="-110" yWindow="-110" windowWidth="29020" windowHeight="15700" tabRatio="936" activeTab="29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35" l="1"/>
  <c r="C62" i="35"/>
  <c r="C61" i="35"/>
  <c r="C60" i="35"/>
  <c r="C59" i="35"/>
  <c r="C58" i="35"/>
  <c r="C57" i="35"/>
  <c r="C56" i="35"/>
  <c r="C55" i="35"/>
  <c r="C54" i="35"/>
  <c r="C53" i="35"/>
  <c r="C63" i="34"/>
  <c r="C55" i="34"/>
  <c r="C62" i="34"/>
  <c r="C60" i="34"/>
  <c r="C57" i="34"/>
  <c r="C54" i="34"/>
  <c r="C61" i="34"/>
  <c r="C59" i="34"/>
  <c r="C56" i="34"/>
  <c r="C58" i="34"/>
  <c r="C53" i="34"/>
  <c r="C54" i="9"/>
  <c r="C63" i="9"/>
  <c r="C62" i="9"/>
  <c r="C60" i="9"/>
  <c r="C61" i="9"/>
  <c r="C58" i="9"/>
  <c r="C59" i="9"/>
  <c r="C57" i="9"/>
  <c r="C56" i="9"/>
  <c r="C55" i="9"/>
  <c r="C53" i="9"/>
  <c r="C63" i="38"/>
  <c r="C58" i="38"/>
  <c r="C61" i="38"/>
  <c r="C60" i="38"/>
  <c r="C59" i="38"/>
  <c r="C56" i="38"/>
  <c r="C57" i="38"/>
  <c r="C62" i="38"/>
  <c r="C55" i="38"/>
  <c r="C54" i="38"/>
  <c r="C53" i="38"/>
  <c r="C62" i="19"/>
  <c r="C61" i="19"/>
  <c r="C60" i="19"/>
  <c r="C56" i="19"/>
  <c r="C57" i="19"/>
  <c r="C59" i="19"/>
  <c r="C55" i="19"/>
  <c r="C53" i="19"/>
  <c r="C63" i="19"/>
  <c r="C58" i="19"/>
  <c r="C54" i="19"/>
  <c r="C56" i="28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9" i="5"/>
  <c r="AD5" i="5"/>
  <c r="AD10" i="5"/>
  <c r="AD8" i="5"/>
  <c r="AD3" i="5"/>
  <c r="AD6" i="5"/>
  <c r="AD12" i="5"/>
  <c r="AD11" i="5"/>
  <c r="AD7" i="5"/>
  <c r="AD4" i="5"/>
  <c r="AD2" i="5"/>
  <c r="AD20" i="4"/>
  <c r="AD15" i="4"/>
  <c r="AD18" i="4"/>
  <c r="AD14" i="4"/>
  <c r="AD11" i="4"/>
  <c r="AD17" i="4"/>
  <c r="AD23" i="4"/>
  <c r="AD13" i="4"/>
  <c r="AD2" i="4"/>
  <c r="AD22" i="4"/>
  <c r="AD16" i="4"/>
  <c r="AD7" i="4"/>
  <c r="AD4" i="4"/>
  <c r="AD21" i="4"/>
  <c r="AD8" i="4"/>
  <c r="AD9" i="4"/>
  <c r="AD5" i="4"/>
  <c r="AD12" i="4"/>
  <c r="AD6" i="4"/>
  <c r="AD3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<sst xmlns="http://schemas.openxmlformats.org/spreadsheetml/2006/main" count="4579" uniqueCount="1145">
  <si>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</si>
  <si>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</si>
  <si>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</si>
  <si>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</si>
  <si>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</si>
  <si>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</si>
  <si>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</si>
  <si>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</si>
  <si>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</si>
  <si>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</si>
  <si>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</si>
  <si>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</si>
  <si>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</si>
  <si>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</si>
  <si>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</si>
  <si>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</si>
  <si>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</si>
  <si>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</si>
  <si>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</si>
  <si>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</si>
  <si>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</si>
  <si>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</si>
  <si>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</si>
  <si>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</si>
  <si>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</si>
  <si>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</si>
  <si>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</si>
  <si>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</si>
  <si>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</si>
  <si>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</si>
  <si>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</si>
  <si>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</si>
  <si>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</si>
  <si>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</si>
  <si>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</si>
  <si>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</si>
  <si>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</si>
  <si>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</si>
  <si>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</si>
  <si>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</si>
  <si>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</si>
  <si>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</si>
  <si>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</si>
  <si>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</si>
  <si>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</si>
  <si>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</si>
  <si>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</si>
  <si>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</si>
  <si>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</si>
  <si>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</si>
  <si>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</si>
  <si>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</si>
  <si>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</si>
  <si>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</si>
  <si>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</si>
  <si>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</si>
  <si>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</si>
  <si>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</si>
  <si>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</si>
  <si>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</si>
  <si>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</si>
  <si>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</si>
  <si>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</si>
  <si>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</si>
  <si>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</si>
  <si>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</si>
  <si>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</si>
  <si>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</si>
  <si>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</si>
  <si>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</si>
  <si>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</si>
  <si>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</si>
  <si>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</si>
  <si>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</si>
  <si>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</si>
  <si>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</si>
  <si>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</si>
  <si>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</si>
  <si>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</si>
  <si>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</si>
  <si>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</si>
  <si>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</si>
  <si>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</si>
  <si>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</si>
  <si>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</si>
  <si>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</si>
  <si>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</si>
  <si>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</si>
  <si>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</si>
  <si>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</si>
  <si>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</si>
  <si>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</si>
  <si>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</si>
  <si>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</si>
  <si>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</si>
  <si>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</si>
  <si>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</si>
  <si>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</si>
  <si>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</si>
  <si>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</si>
  <si>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</si>
  <si>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</si>
  <si>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</si>
  <si>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</si>
  <si>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</si>
  <si>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</si>
  <si>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</si>
  <si>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</si>
  <si>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</si>
  <si>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</si>
  <si>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</si>
  <si>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</si>
  <si>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</si>
  <si>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</si>
  <si>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</si>
  <si>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</si>
  <si>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</si>
  <si>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</si>
  <si>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</si>
  <si>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</si>
  <si>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</si>
  <si>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</si>
  <si>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</si>
  <si>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</si>
  <si>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</si>
  <si>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</si>
  <si>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</si>
  <si>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</si>
  <si>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</si>
  <si>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</si>
  <si>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</si>
  <si>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</si>
  <si>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</si>
  <si>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</si>
  <si>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</si>
  <si>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</si>
  <si>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</si>
  <si>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</si>
  <si>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</si>
  <si>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</si>
  <si>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</si>
  <si>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</si>
  <si>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</si>
  <si>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</si>
  <si>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</si>
  <si>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</si>
  <si>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</si>
  <si>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</si>
  <si>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</si>
  <si>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</si>
  <si>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</si>
  <si>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</si>
  <si>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</si>
  <si>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</si>
  <si>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</si>
  <si>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</si>
  <si>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</si>
  <si>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</si>
  <si>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</si>
  <si>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</si>
  <si>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</si>
  <si>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</si>
  <si>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</si>
  <si>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</si>
  <si>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</si>
  <si>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</si>
  <si>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</si>
  <si>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</si>
  <si>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</si>
  <si>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</si>
  <si>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</si>
  <si>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</si>
  <si>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</si>
  <si>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</si>
  <si>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</si>
  <si>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</si>
  <si>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</si>
  <si>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</si>
  <si>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</si>
  <si>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</si>
  <si>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</si>
  <si>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</si>
  <si>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</si>
  <si>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</si>
  <si>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</si>
  <si>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</si>
  <si>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</si>
  <si>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</si>
  <si>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</si>
  <si>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</si>
  <si>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</si>
  <si>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</si>
  <si>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</si>
  <si>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</si>
  <si>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</si>
  <si>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</si>
  <si>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</si>
  <si>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</si>
  <si>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</si>
  <si>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</si>
  <si>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</si>
  <si>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</si>
  <si>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</si>
  <si>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</si>
  <si>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</si>
  <si>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</si>
  <si>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</si>
  <si>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</si>
  <si>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</si>
  <si>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</si>
  <si>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</si>
  <si>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</si>
  <si>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</si>
  <si>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</si>
  <si>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</si>
  <si>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</si>
  <si>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</si>
  <si>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</si>
  <si>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</si>
  <si>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</si>
  <si>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</si>
  <si>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</si>
  <si>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</si>
  <si>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</si>
  <si>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</si>
  <si>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</si>
  <si>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</si>
  <si>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</si>
  <si>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</si>
  <si>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</si>
  <si>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</si>
  <si>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</si>
  <si>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</si>
  <si>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</si>
  <si>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</si>
  <si>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</si>
  <si>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</si>
  <si>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</si>
  <si>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</si>
  <si>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</si>
  <si>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</si>
  <si>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</si>
  <si>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</si>
  <si>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</si>
  <si>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</si>
  <si>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</si>
  <si>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</si>
  <si>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</si>
  <si>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</si>
  <si>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</si>
  <si>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</si>
  <si>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</si>
  <si>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</si>
  <si>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</si>
  <si>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</si>
  <si>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</si>
  <si>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</si>
  <si>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</si>
  <si>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</si>
  <si>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</si>
  <si>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</si>
  <si>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</si>
  <si>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</si>
  <si>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</si>
  <si>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</si>
  <si>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</si>
  <si>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</si>
  <si>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</si>
  <si>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</si>
  <si>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</si>
  <si>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</si>
  <si>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</si>
  <si>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</si>
  <si>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</si>
  <si>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</si>
  <si>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</si>
  <si>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</si>
  <si>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</si>
  <si>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</si>
  <si>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</si>
  <si>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</si>
  <si>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</si>
  <si>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</si>
  <si>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</si>
  <si>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</si>
  <si>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</si>
  <si>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</si>
  <si>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</si>
  <si>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</si>
  <si>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</si>
  <si>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</si>
  <si>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</si>
  <si>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</si>
  <si>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</si>
  <si>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</si>
  <si>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</si>
  <si>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</si>
  <si>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</si>
  <si>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</si>
  <si>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</si>
  <si>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</si>
  <si>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</si>
  <si>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</si>
  <si>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</si>
  <si>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</si>
  <si>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</si>
  <si>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</si>
  <si>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</si>
  <si>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</si>
  <si>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</si>
  <si>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</si>
  <si>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</si>
  <si>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</si>
  <si>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</si>
  <si>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</si>
  <si>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</si>
  <si>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</si>
  <si>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</si>
  <si>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</si>
  <si>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</si>
  <si>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</si>
  <si>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</si>
  <si>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</si>
  <si>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</si>
  <si>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</si>
  <si>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</si>
  <si>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</si>
  <si>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</si>
  <si>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</si>
  <si>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</si>
  <si>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</si>
  <si>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</si>
  <si>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</si>
  <si>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</si>
  <si>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</si>
  <si>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</si>
  <si>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</si>
  <si>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</si>
  <si>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</si>
  <si>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</si>
  <si>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</si>
  <si>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</si>
  <si>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</si>
  <si>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</si>
  <si>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</si>
  <si>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</si>
  <si>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</si>
  <si>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</si>
  <si>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</si>
  <si>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</si>
  <si>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</si>
  <si>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</si>
  <si>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</si>
  <si>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</si>
  <si>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</si>
  <si>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</si>
  <si>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</si>
  <si>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</si>
  <si>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</si>
  <si>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</si>
  <si>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</si>
  <si>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</si>
  <si>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</si>
  <si>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</si>
  <si>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</si>
  <si>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</si>
  <si>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</si>
  <si>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</si>
  <si>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</si>
  <si>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</si>
  <si>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</si>
  <si>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</si>
  <si>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</si>
  <si>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</si>
  <si>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</si>
  <si>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</si>
  <si>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</si>
  <si>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</si>
  <si>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</si>
  <si>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</si>
  <si>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</si>
  <si>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</si>
  <si>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</si>
  <si>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</si>
  <si>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</si>
  <si>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</si>
  <si>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</si>
  <si>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</si>
  <si>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</si>
  <si>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</si>
  <si>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</si>
  <si>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</si>
  <si>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</si>
  <si>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</si>
  <si>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</si>
  <si>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</si>
  <si>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</si>
  <si>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</si>
  <si>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</si>
  <si>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</si>
  <si>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</si>
  <si>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</si>
  <si>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</si>
  <si>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</si>
  <si>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</si>
  <si>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</si>
  <si>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</si>
  <si>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</si>
  <si>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</si>
  <si>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</si>
  <si>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</si>
  <si>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</si>
  <si>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</si>
  <si>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</si>
  <si>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</si>
  <si>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</si>
  <si>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</si>
  <si>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</si>
  <si>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</si>
  <si>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</si>
  <si>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</si>
  <si>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</si>
  <si>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</si>
  <si>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</si>
  <si>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</si>
  <si>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</si>
  <si>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</si>
  <si>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</si>
  <si>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</si>
  <si>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</si>
  <si>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</si>
  <si>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</si>
  <si>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</si>
  <si>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</si>
  <si>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</si>
  <si>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</si>
  <si>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</si>
  <si>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</si>
  <si>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</si>
  <si>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</si>
  <si>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</si>
  <si>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</si>
  <si>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</si>
  <si>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</si>
  <si>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</si>
  <si>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</si>
  <si>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</si>
  <si>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</si>
  <si>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</si>
  <si>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</si>
  <si>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</si>
  <si>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</si>
  <si>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</si>
  <si>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</si>
  <si>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</si>
  <si>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</si>
  <si>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</si>
  <si>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</si>
  <si>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</si>
  <si>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</si>
  <si>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</si>
  <si>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</si>
  <si>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</si>
  <si>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</si>
  <si>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</si>
  <si>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</si>
  <si>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</si>
  <si>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</si>
  <si>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</si>
  <si>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</si>
  <si>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</si>
  <si>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</si>
  <si>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</si>
  <si>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</si>
  <si>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</si>
  <si>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</si>
  <si>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</si>
  <si>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</si>
  <si>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</si>
  <si>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</si>
  <si>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</si>
  <si>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</si>
  <si>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</si>
  <si>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</si>
  <si>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</si>
  <si>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</si>
  <si>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</si>
  <si>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</si>
  <si>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</si>
  <si>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</si>
  <si>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</si>
  <si>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</si>
  <si>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</si>
  <si>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</si>
  <si>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</si>
  <si>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</si>
  <si>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</si>
  <si>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</si>
  <si>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</si>
  <si>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</si>
  <si>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</si>
  <si>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</si>
  <si>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</si>
  <si>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</si>
  <si>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</si>
  <si>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</si>
  <si>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</si>
  <si>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</si>
  <si>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</si>
  <si>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</si>
  <si>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</si>
  <si>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Код</t>
  </si>
  <si>
    <t>Название</t>
  </si>
  <si>
    <t>BAH</t>
  </si>
  <si>
    <t>SAU</t>
  </si>
  <si>
    <t>Саудовская Аравия</t>
  </si>
  <si>
    <t>AUS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</si>
  <si>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</si>
  <si>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</si>
  <si>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</si>
  <si>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</si>
  <si>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</si>
  <si>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</si>
  <si>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</si>
  <si>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</si>
  <si>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</si>
  <si>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</si>
  <si>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</si>
  <si>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</si>
  <si>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</si>
  <si>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</si>
  <si>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</si>
  <si>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</si>
  <si>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</si>
  <si>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</si>
  <si>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</si>
  <si>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</si>
  <si>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</si>
  <si>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</si>
  <si>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</si>
  <si>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</si>
  <si>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</si>
  <si>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</si>
  <si>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</si>
  <si>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</si>
  <si>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</si>
  <si>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</si>
  <si>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</si>
  <si>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</si>
  <si>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</si>
  <si>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</si>
  <si>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</si>
  <si>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</si>
  <si>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</si>
  <si>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</si>
  <si>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</si>
  <si>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</si>
  <si>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</si>
  <si>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</si>
  <si>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</si>
  <si>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</si>
  <si>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</si>
  <si>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</si>
  <si>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</si>
  <si>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</si>
  <si>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</si>
  <si>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</si>
  <si>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</si>
  <si>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</si>
  <si>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</si>
  <si>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</si>
  <si>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</si>
  <si>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</si>
  <si>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</si>
  <si>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</si>
  <si>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</si>
  <si>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</si>
  <si>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</si>
  <si>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</si>
  <si>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</si>
  <si>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</si>
  <si>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</si>
  <si>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</si>
  <si>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</si>
  <si>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</si>
  <si>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</si>
  <si>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</si>
  <si>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</si>
  <si>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</si>
  <si>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</si>
  <si>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</si>
  <si>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</si>
  <si>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</si>
  <si>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</si>
  <si>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</si>
  <si>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</si>
  <si>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</si>
  <si>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</si>
  <si>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</si>
  <si>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</si>
  <si>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</si>
  <si>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</si>
  <si>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</si>
  <si>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</si>
  <si>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</si>
  <si>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</si>
  <si>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</si>
  <si>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</si>
  <si>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</si>
  <si>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</si>
  <si>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</si>
  <si>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</si>
  <si>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</si>
  <si>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</si>
  <si>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</si>
  <si>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</si>
  <si>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</si>
  <si>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</si>
  <si>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</si>
  <si>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</si>
  <si>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</si>
  <si>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</si>
  <si>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</si>
  <si>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</si>
  <si>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</si>
  <si>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</si>
  <si>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</si>
  <si>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</si>
  <si>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</si>
  <si>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</si>
  <si>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</si>
  <si>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</si>
  <si>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</si>
  <si>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</si>
  <si>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</si>
  <si>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</si>
  <si>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</si>
  <si>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</si>
  <si>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</si>
  <si>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</si>
  <si>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</si>
  <si>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</si>
  <si>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</si>
  <si>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</si>
  <si>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</si>
  <si>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</si>
  <si>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</si>
  <si>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</si>
  <si>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</si>
  <si>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</si>
  <si>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</si>
  <si>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</si>
  <si>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</si>
  <si>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</si>
  <si>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</si>
  <si>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</si>
  <si>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</si>
  <si>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</si>
  <si>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</si>
  <si>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</si>
  <si>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</si>
  <si>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</si>
  <si>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</si>
  <si>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</si>
  <si>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</si>
  <si>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</si>
  <si>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</si>
  <si>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</si>
  <si>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</si>
  <si>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</si>
  <si>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</si>
  <si>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</si>
  <si>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</si>
  <si>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</si>
  <si>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</si>
  <si>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</si>
  <si>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</si>
  <si>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</si>
  <si>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</si>
  <si>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</si>
  <si>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</si>
  <si>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</si>
  <si>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</si>
  <si>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</si>
  <si>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</si>
  <si>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</si>
  <si>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</si>
  <si>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</si>
  <si>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</si>
  <si>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</si>
  <si>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</si>
  <si>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</si>
  <si>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</si>
  <si>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</si>
  <si>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</si>
  <si>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</si>
  <si>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</si>
  <si>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</si>
  <si>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</si>
  <si>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</si>
  <si>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</si>
  <si>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</si>
  <si>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</si>
  <si>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</si>
  <si>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</si>
  <si>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</si>
  <si>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</si>
  <si>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</si>
  <si>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</si>
  <si>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</si>
  <si>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</si>
  <si>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</si>
  <si>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</si>
  <si>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</si>
  <si>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</si>
  <si>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</si>
  <si>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</si>
  <si>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</si>
  <si>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</si>
  <si>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</si>
  <si>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</si>
  <si>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</si>
  <si>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</si>
  <si>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</si>
  <si>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</si>
  <si>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</si>
  <si>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</si>
  <si>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</si>
  <si>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</si>
  <si>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</si>
  <si>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</si>
  <si>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</si>
  <si>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</si>
  <si>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</si>
  <si>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</si>
  <si>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</si>
  <si>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</si>
  <si>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</si>
  <si>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</si>
  <si>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</si>
  <si>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</si>
  <si>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</si>
  <si>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</si>
  <si>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</si>
  <si>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</si>
  <si>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</si>
  <si>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</si>
  <si>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</si>
  <si>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</si>
  <si>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</si>
  <si>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</si>
  <si>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</si>
  <si>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</si>
  <si>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</si>
  <si>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</si>
  <si>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</si>
  <si>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</si>
  <si>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</si>
  <si>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</si>
  <si>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</si>
  <si>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</si>
  <si>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</si>
  <si>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</si>
  <si>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</si>
  <si>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</si>
  <si>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</si>
  <si>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</si>
  <si>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</si>
  <si>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</si>
  <si>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</si>
  <si>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</si>
  <si>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</si>
  <si>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</si>
  <si>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</si>
  <si>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</si>
  <si>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</si>
  <si>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</si>
  <si>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</si>
  <si>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</si>
  <si>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</si>
  <si>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</si>
  <si>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</si>
  <si>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</si>
  <si>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</si>
  <si>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</si>
  <si>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</si>
  <si>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</si>
  <si>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</si>
  <si>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</si>
  <si>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</si>
  <si>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</si>
  <si>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</si>
  <si>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</si>
  <si>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</si>
  <si>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</si>
  <si>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</si>
  <si>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</si>
  <si>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</si>
  <si>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</si>
  <si>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</si>
  <si>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</si>
  <si>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</si>
  <si>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</si>
  <si>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</si>
  <si>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</si>
  <si>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</si>
  <si>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</si>
  <si>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</si>
  <si>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</si>
  <si>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</si>
  <si>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</si>
  <si>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</si>
  <si>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</si>
  <si>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</si>
  <si>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</si>
  <si>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</si>
  <si>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</si>
  <si>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</si>
  <si>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</si>
  <si>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</si>
  <si>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</si>
  <si>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</si>
  <si>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</si>
  <si>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</si>
  <si>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</si>
  <si>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</si>
  <si>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</si>
  <si>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</si>
  <si>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</si>
  <si>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</si>
  <si>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</si>
  <si>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</si>
  <si>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</si>
  <si>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</si>
  <si>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</si>
  <si>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</si>
  <si>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</si>
  <si>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</si>
  <si>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</si>
  <si>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</si>
  <si>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</si>
  <si>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</si>
  <si>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</si>
  <si>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</si>
  <si>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</si>
  <si>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</si>
  <si>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</si>
  <si>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</si>
  <si>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</si>
  <si>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</si>
  <si>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</si>
  <si>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</si>
  <si>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</si>
  <si>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</si>
  <si>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</si>
  <si>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</si>
  <si>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</si>
  <si>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</si>
  <si>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</si>
  <si>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</si>
  <si>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</si>
  <si>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</si>
  <si>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</si>
  <si>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</si>
  <si>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</si>
  <si>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</si>
  <si>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</si>
  <si>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</si>
  <si>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</si>
  <si>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</si>
  <si>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</si>
  <si>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</si>
  <si>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</si>
  <si>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</si>
  <si>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</si>
  <si>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</si>
  <si>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</si>
  <si>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</si>
  <si>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</si>
  <si>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</si>
  <si>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</si>
  <si>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</si>
  <si>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</si>
  <si>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</si>
  <si>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</si>
  <si>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</si>
  <si>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</si>
  <si>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</si>
  <si>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</si>
  <si>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</si>
  <si>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</si>
  <si>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</si>
  <si>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</si>
  <si>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</si>
  <si>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</si>
  <si>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</si>
  <si>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</si>
  <si>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</si>
  <si>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</si>
  <si>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</si>
  <si>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</si>
  <si>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</si>
  <si>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</si>
  <si>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</si>
  <si>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</si>
  <si>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</si>
  <si>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</si>
  <si>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</si>
  <si>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</si>
  <si>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</si>
  <si>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</si>
  <si>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</si>
  <si>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</si>
  <si>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</si>
  <si>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</si>
  <si>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</si>
  <si>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</si>
  <si>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</si>
  <si>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</si>
  <si>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</si>
  <si>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</si>
  <si>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</si>
  <si>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</si>
  <si>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</si>
  <si>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</si>
  <si>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</si>
  <si>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</si>
  <si>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</si>
  <si>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</si>
  <si>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</si>
  <si>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</si>
  <si>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</si>
  <si>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</si>
  <si>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</si>
  <si>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</si>
  <si>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</si>
  <si>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</si>
  <si>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</si>
  <si>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</si>
  <si>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</si>
  <si>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</si>
  <si>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</si>
  <si>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</si>
  <si>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</si>
  <si>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</si>
  <si>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</si>
  <si>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</si>
  <si>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</si>
  <si>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</si>
  <si>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</si>
  <si>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</si>
  <si>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</si>
  <si>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</si>
  <si>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</si>
  <si>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</si>
  <si>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</si>
  <si>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</si>
  <si>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</si>
  <si>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</si>
  <si>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</si>
  <si>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</si>
  <si>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</si>
  <si>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</si>
  <si>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</si>
  <si>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</si>
  <si>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</si>
  <si>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</si>
  <si>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</si>
  <si>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</si>
  <si>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</si>
  <si>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</si>
  <si>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</si>
  <si>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</si>
  <si>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</si>
  <si>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</si>
  <si>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</si>
  <si>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</si>
  <si>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</si>
  <si>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</si>
  <si>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</si>
  <si>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</si>
  <si>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</si>
  <si>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</si>
  <si>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</si>
  <si>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</si>
  <si>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</si>
  <si>
    <t>1:04.037</t>
  </si>
  <si>
    <t>1:04.075</t>
  </si>
  <si>
    <t>1:04.785</t>
  </si>
  <si>
    <t>1:05.175</t>
  </si>
  <si>
    <t>1:04.325</t>
  </si>
  <si>
    <t>1:04.929</t>
  </si>
  <si>
    <t>1:04.622</t>
  </si>
  <si>
    <t>1:05.321</t>
  </si>
  <si>
    <t>1:04.183</t>
  </si>
  <si>
    <t>1:03.443</t>
  </si>
  <si>
    <t>1:05.461</t>
  </si>
  <si>
    <t>1:05.247</t>
  </si>
  <si>
    <t>1:04.389</t>
  </si>
  <si>
    <t>1:04.805</t>
  </si>
  <si>
    <t>1:05.158</t>
  </si>
  <si>
    <t>1:05.105</t>
  </si>
  <si>
    <t>1:06.172</t>
  </si>
  <si>
    <t>1:05.955</t>
  </si>
  <si>
    <t>1:06.250</t>
  </si>
  <si>
    <t>1:05.577</t>
  </si>
  <si>
    <t>1:05.538</t>
  </si>
  <si>
    <t>1:06.806</t>
  </si>
  <si>
    <t>+6.613</t>
  </si>
  <si>
    <t>+0.299</t>
  </si>
  <si>
    <t>+0.856</t>
  </si>
  <si>
    <t>+4.795</t>
  </si>
  <si>
    <t>+3.081</t>
  </si>
  <si>
    <t>+7.107</t>
  </si>
  <si>
    <t>+0.092</t>
  </si>
  <si>
    <t>+0.667</t>
  </si>
  <si>
    <t>+18.199</t>
  </si>
  <si>
    <t>+5.630</t>
  </si>
  <si>
    <t>+4.805</t>
  </si>
  <si>
    <t>+3.100</t>
  </si>
  <si>
    <t>01:20:46</t>
  </si>
  <si>
    <t>1:33.078</t>
  </si>
  <si>
    <t>1:33.069</t>
  </si>
  <si>
    <t>1:33.408</t>
  </si>
  <si>
    <t>1:33.318</t>
  </si>
  <si>
    <t>1:33.465</t>
  </si>
  <si>
    <t>1:33.638</t>
  </si>
  <si>
    <t>1:33.680</t>
  </si>
  <si>
    <t>1:33.527</t>
  </si>
  <si>
    <t>1:33.977</t>
  </si>
  <si>
    <t>1:33.947</t>
  </si>
  <si>
    <t>1:34.095</t>
  </si>
  <si>
    <t>1:33.662</t>
  </si>
  <si>
    <t>1:33.842</t>
  </si>
  <si>
    <t>1:34.074</t>
  </si>
  <si>
    <t>1:34.278</t>
  </si>
  <si>
    <t>1:34.269</t>
  </si>
  <si>
    <t>1:34.562</t>
  </si>
  <si>
    <t>1:34.730</t>
  </si>
  <si>
    <t>1:34.829</t>
  </si>
  <si>
    <t>1:34.808</t>
  </si>
  <si>
    <t>1:33.526</t>
  </si>
  <si>
    <t>0:00.000</t>
  </si>
  <si>
    <t>00:28.17</t>
  </si>
  <si>
    <t>+0.734</t>
  </si>
  <si>
    <t>+3.772</t>
  </si>
  <si>
    <t>+0.585</t>
  </si>
  <si>
    <t>+0.654</t>
  </si>
  <si>
    <t>+1.963</t>
  </si>
  <si>
    <t>+0.809</t>
  </si>
  <si>
    <t>+4.332</t>
  </si>
  <si>
    <t>+1.644</t>
  </si>
  <si>
    <t>+1.815</t>
  </si>
  <si>
    <t>+1.282</t>
  </si>
  <si>
    <t>+0.282</t>
  </si>
  <si>
    <t>+0.536</t>
  </si>
  <si>
    <t>+2.428</t>
  </si>
  <si>
    <t>+1.941</t>
  </si>
  <si>
    <t>+5.184</t>
  </si>
  <si>
    <t>+2.297</t>
  </si>
  <si>
    <t>+0.017</t>
  </si>
  <si>
    <t>+4.926</t>
  </si>
  <si>
    <t>+18.369</t>
  </si>
  <si>
    <t>1:33.863</t>
  </si>
  <si>
    <t>1:33.862</t>
  </si>
  <si>
    <t>1:35.765</t>
  </si>
  <si>
    <t>1:35.074</t>
  </si>
  <si>
    <t>1:34.296</t>
  </si>
  <si>
    <t>1:34.502</t>
  </si>
  <si>
    <t>1:35.491</t>
  </si>
  <si>
    <t>1:35.688</t>
  </si>
  <si>
    <t>1:35.022</t>
  </si>
  <si>
    <t>1:35.341</t>
  </si>
  <si>
    <t>1:36.183</t>
  </si>
  <si>
    <t>1:34.747</t>
  </si>
  <si>
    <t>1:35.312</t>
  </si>
  <si>
    <t>1:33.824</t>
  </si>
  <si>
    <t>1:35.187</t>
  </si>
  <si>
    <t>1:35.434</t>
  </si>
  <si>
    <t>1:35.344</t>
  </si>
  <si>
    <t>1:36.241</t>
  </si>
  <si>
    <t>1:36.398</t>
  </si>
  <si>
    <t>1:36.504</t>
  </si>
  <si>
    <t>1:37.136</t>
  </si>
  <si>
    <t>01:27:55</t>
  </si>
  <si>
    <t>+0.263</t>
  </si>
  <si>
    <t>+39.488</t>
  </si>
  <si>
    <t>+7.281</t>
  </si>
  <si>
    <t>+7.918</t>
  </si>
  <si>
    <t>+4.355</t>
  </si>
  <si>
    <t>+2.655</t>
  </si>
  <si>
    <t>+0.277</t>
  </si>
  <si>
    <t>+3.852</t>
  </si>
  <si>
    <t>+0.161</t>
  </si>
  <si>
    <t>+1.920</t>
  </si>
  <si>
    <t>+0.341</t>
  </si>
  <si>
    <t>+0.347</t>
  </si>
  <si>
    <t>+1.917</t>
  </si>
  <si>
    <t>+1.250</t>
  </si>
  <si>
    <t>+0.362</t>
  </si>
  <si>
    <t>+10.190</t>
  </si>
  <si>
    <t>+9.519</t>
  </si>
  <si>
    <t>+2.849</t>
  </si>
  <si>
    <t>JAP_S</t>
  </si>
  <si>
    <t>JAP</t>
  </si>
  <si>
    <t>01:24:59</t>
  </si>
  <si>
    <t>+0.073</t>
  </si>
  <si>
    <t>+12.424</t>
  </si>
  <si>
    <t>+2.708</t>
  </si>
  <si>
    <t>+2.296</t>
  </si>
  <si>
    <t>+1.228</t>
  </si>
  <si>
    <t>+1.165</t>
  </si>
  <si>
    <t>+10.095</t>
  </si>
  <si>
    <t>+7.468</t>
  </si>
  <si>
    <t>+4.500</t>
  </si>
  <si>
    <t>+3.177</t>
  </si>
  <si>
    <t>+11.274</t>
  </si>
  <si>
    <t>+6.668</t>
  </si>
  <si>
    <t>+0.005</t>
  </si>
  <si>
    <t>+4.923</t>
  </si>
  <si>
    <t>+6.459</t>
  </si>
  <si>
    <t>+1.518</t>
  </si>
  <si>
    <t>+2.915</t>
  </si>
  <si>
    <t>1:24.531</t>
  </si>
  <si>
    <t>1:24.915</t>
  </si>
  <si>
    <t>1:25.157</t>
  </si>
  <si>
    <t>1:26.043</t>
  </si>
  <si>
    <t>1:25.953</t>
  </si>
  <si>
    <t>1:25.804</t>
  </si>
  <si>
    <t>1:25.596</t>
  </si>
  <si>
    <t>1:25.943</t>
  </si>
  <si>
    <t>1:25.309</t>
  </si>
  <si>
    <t>1:25.980</t>
  </si>
  <si>
    <t>1:25.634</t>
  </si>
  <si>
    <t>1:25.937</t>
  </si>
  <si>
    <t>1:26.081</t>
  </si>
  <si>
    <t>1:25.817</t>
  </si>
  <si>
    <t>1:25.735</t>
  </si>
  <si>
    <t>1:26.640</t>
  </si>
  <si>
    <t>1:25.814</t>
  </si>
  <si>
    <t>1:26.581</t>
  </si>
  <si>
    <t>1:26.804</t>
  </si>
  <si>
    <t>1:26.638</t>
  </si>
  <si>
    <t>1:26.953</t>
  </si>
  <si>
    <t>1:26.980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</si>
</sst>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AC7" sqref="AC7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51</v>
      </c>
      <c r="C2" s="36">
        <v>18</v>
      </c>
      <c r="D2" s="36">
        <v>25</v>
      </c>
      <c r="E2" s="36">
        <v>12</v>
      </c>
      <c r="F2" s="36">
        <v>15</v>
      </c>
      <c r="G2" s="36">
        <v>15</v>
      </c>
      <c r="H2" s="36">
        <v>18</v>
      </c>
      <c r="I2" s="36">
        <v>25</v>
      </c>
      <c r="J2" s="36">
        <v>8</v>
      </c>
      <c r="K2" s="36">
        <v>18</v>
      </c>
      <c r="L2" s="36">
        <v>12</v>
      </c>
      <c r="M2" s="36">
        <v>25</v>
      </c>
      <c r="N2" s="36" t="s">
        <v>66</v>
      </c>
      <c r="O2" s="82">
        <v>15</v>
      </c>
      <c r="P2" s="82">
        <v>25</v>
      </c>
      <c r="Q2" s="82">
        <v>25</v>
      </c>
      <c r="R2" s="59">
        <v>26</v>
      </c>
      <c r="S2" s="59">
        <v>8</v>
      </c>
      <c r="T2" s="82">
        <v>18</v>
      </c>
      <c r="U2" s="82">
        <v>25</v>
      </c>
      <c r="V2" s="82">
        <v>15</v>
      </c>
      <c r="W2" s="59">
        <v>19</v>
      </c>
      <c r="X2" s="82">
        <v>12</v>
      </c>
      <c r="Y2" s="82">
        <v>15</v>
      </c>
      <c r="Z2" s="82">
        <v>6</v>
      </c>
      <c r="AA2" s="82">
        <v>25</v>
      </c>
      <c r="AB2" s="59">
        <v>26</v>
      </c>
      <c r="AC2" s="61"/>
      <c r="AD2" s="36">
        <f>SUM(C2:AC2)</f>
        <v>451</v>
      </c>
    </row>
    <row r="3" spans="1:30" x14ac:dyDescent="0.35">
      <c r="A3" s="32">
        <v>2</v>
      </c>
      <c r="B3" s="36" t="s">
        <v>52</v>
      </c>
      <c r="C3" s="36">
        <v>25</v>
      </c>
      <c r="D3" s="36">
        <v>18</v>
      </c>
      <c r="E3" s="36">
        <v>25</v>
      </c>
      <c r="F3" s="36">
        <v>18</v>
      </c>
      <c r="G3" s="36">
        <v>18</v>
      </c>
      <c r="H3" s="36">
        <v>15</v>
      </c>
      <c r="I3" s="36">
        <v>18</v>
      </c>
      <c r="J3" s="36">
        <v>2</v>
      </c>
      <c r="K3" s="36">
        <v>25</v>
      </c>
      <c r="L3" s="36">
        <v>15</v>
      </c>
      <c r="M3" s="36">
        <v>18</v>
      </c>
      <c r="N3" s="36" t="s">
        <v>66</v>
      </c>
      <c r="O3" s="59">
        <v>26</v>
      </c>
      <c r="P3" s="59">
        <v>19</v>
      </c>
      <c r="Q3" s="82">
        <v>18</v>
      </c>
      <c r="R3" s="82">
        <v>15</v>
      </c>
      <c r="S3" s="82">
        <v>7</v>
      </c>
      <c r="T3" s="59">
        <v>26</v>
      </c>
      <c r="U3" s="82">
        <v>15</v>
      </c>
      <c r="V3" s="59">
        <v>26</v>
      </c>
      <c r="W3" s="82">
        <v>25</v>
      </c>
      <c r="X3" s="82"/>
      <c r="Y3" s="82">
        <v>25</v>
      </c>
      <c r="Z3" s="82">
        <v>8</v>
      </c>
      <c r="AA3" s="82">
        <v>18</v>
      </c>
      <c r="AB3" s="82">
        <v>18</v>
      </c>
      <c r="AC3" s="61"/>
      <c r="AD3" s="36">
        <f>SUM(C3:AC3)</f>
        <v>443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83"/>
      <c r="X4" s="83">
        <v>25</v>
      </c>
      <c r="Y4" s="83">
        <v>12</v>
      </c>
      <c r="Z4" s="83">
        <v>5</v>
      </c>
      <c r="AA4" s="83">
        <v>15</v>
      </c>
      <c r="AB4" s="83">
        <v>8</v>
      </c>
      <c r="AC4" s="62"/>
      <c r="AD4" s="37">
        <f>SUM(C4:AC4)</f>
        <v>284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86">
        <v>12</v>
      </c>
      <c r="X5" s="59">
        <v>19</v>
      </c>
      <c r="Y5" s="86">
        <v>4</v>
      </c>
      <c r="Z5" s="86">
        <v>4</v>
      </c>
      <c r="AA5" s="86"/>
      <c r="AB5" s="86">
        <v>10</v>
      </c>
      <c r="AC5" s="66"/>
      <c r="AD5" s="40">
        <f>SUM(C5:AC5)</f>
        <v>247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90">
        <v>15</v>
      </c>
      <c r="X6" s="90"/>
      <c r="Y6" s="90"/>
      <c r="Z6" s="90"/>
      <c r="AA6" s="90">
        <v>12</v>
      </c>
      <c r="AB6" s="90">
        <v>4</v>
      </c>
      <c r="AC6" s="70"/>
      <c r="AD6" s="45">
        <f>SUM(C6:AC6)</f>
        <v>170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116">
        <v>10</v>
      </c>
      <c r="X7" s="116"/>
      <c r="Y7" s="116"/>
      <c r="Z7" s="79">
        <v>7</v>
      </c>
      <c r="AA7" s="116">
        <v>4</v>
      </c>
      <c r="AB7" s="116">
        <v>15</v>
      </c>
      <c r="AC7" s="66"/>
      <c r="AD7" s="116">
        <f>SUM(C7:AC7)</f>
        <v>164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87" t="s">
        <v>66</v>
      </c>
      <c r="X8" s="87">
        <v>6</v>
      </c>
      <c r="Y8" s="87"/>
      <c r="Z8" s="87">
        <v>3</v>
      </c>
      <c r="AA8" s="87">
        <v>2</v>
      </c>
      <c r="AB8" s="87">
        <v>6</v>
      </c>
      <c r="AC8" s="65"/>
      <c r="AD8" s="87">
        <f>SUM(C8:AC8)</f>
        <v>139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83">
        <v>8</v>
      </c>
      <c r="X9" s="83"/>
      <c r="Y9" s="83">
        <v>18</v>
      </c>
      <c r="Z9" s="83"/>
      <c r="AA9" s="83"/>
      <c r="AB9" s="83"/>
      <c r="AC9" s="62"/>
      <c r="AD9" s="83">
        <f>SUM(C9:AC9)</f>
        <v>116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84"/>
      <c r="X10" s="84"/>
      <c r="Y10" s="84"/>
      <c r="Z10" s="84"/>
      <c r="AA10" s="84"/>
      <c r="AB10" s="84"/>
      <c r="AC10" s="69"/>
      <c r="AD10" s="84">
        <f>SUM(C10:AC10)</f>
        <v>88</v>
      </c>
    </row>
    <row r="11" spans="1:30" x14ac:dyDescent="0.35">
      <c r="A11" s="30">
        <v>10</v>
      </c>
      <c r="B11" s="90" t="s">
        <v>73</v>
      </c>
      <c r="C11" s="90"/>
      <c r="D11" s="90"/>
      <c r="E11" s="90"/>
      <c r="F11" s="90">
        <v>6</v>
      </c>
      <c r="G11" s="90"/>
      <c r="H11" s="90"/>
      <c r="I11" s="90"/>
      <c r="J11" s="90"/>
      <c r="K11" s="90"/>
      <c r="L11" s="58"/>
      <c r="M11" s="90">
        <v>8</v>
      </c>
      <c r="N11" s="90">
        <v>4</v>
      </c>
      <c r="O11" s="90">
        <v>2</v>
      </c>
      <c r="P11" s="90">
        <v>2</v>
      </c>
      <c r="Q11" s="90">
        <v>6</v>
      </c>
      <c r="R11" s="90"/>
      <c r="S11" s="90"/>
      <c r="T11" s="90">
        <v>6</v>
      </c>
      <c r="U11" s="90">
        <v>1</v>
      </c>
      <c r="V11" s="90"/>
      <c r="W11" s="90">
        <v>6</v>
      </c>
      <c r="X11" s="90">
        <v>15</v>
      </c>
      <c r="Y11" s="90" t="s">
        <v>66</v>
      </c>
      <c r="Z11" s="90">
        <v>2</v>
      </c>
      <c r="AA11" s="90">
        <v>10</v>
      </c>
      <c r="AB11" s="90"/>
      <c r="AC11" s="70"/>
      <c r="AD11" s="90">
        <f>SUM(C11:AC11)</f>
        <v>68</v>
      </c>
    </row>
    <row r="12" spans="1:30" x14ac:dyDescent="0.35">
      <c r="A12" s="30">
        <v>11</v>
      </c>
      <c r="B12" s="88" t="s">
        <v>62</v>
      </c>
      <c r="C12" s="88"/>
      <c r="D12" s="88">
        <v>4</v>
      </c>
      <c r="E12" s="88"/>
      <c r="F12" s="88"/>
      <c r="G12" s="88"/>
      <c r="H12" s="88"/>
      <c r="I12" s="88"/>
      <c r="J12" s="88"/>
      <c r="K12" s="88"/>
      <c r="L12" s="88" t="s">
        <v>66</v>
      </c>
      <c r="M12" s="88"/>
      <c r="N12" s="88">
        <v>25</v>
      </c>
      <c r="O12" s="88"/>
      <c r="P12" s="88"/>
      <c r="Q12" s="88"/>
      <c r="R12" s="88"/>
      <c r="S12" s="88"/>
      <c r="T12" s="88"/>
      <c r="U12" s="88"/>
      <c r="V12" s="88">
        <v>1</v>
      </c>
      <c r="W12" s="88"/>
      <c r="X12" s="88">
        <v>4</v>
      </c>
      <c r="Y12" s="88">
        <v>8</v>
      </c>
      <c r="Z12" s="88"/>
      <c r="AA12" s="88">
        <v>6</v>
      </c>
      <c r="AB12" s="88"/>
      <c r="AC12" s="68"/>
      <c r="AD12" s="88">
        <f>SUM(C12:AC12)</f>
        <v>48</v>
      </c>
    </row>
    <row r="13" spans="1:30" x14ac:dyDescent="0.35">
      <c r="A13" s="30">
        <v>12</v>
      </c>
      <c r="B13" s="104" t="s">
        <v>64</v>
      </c>
      <c r="C13" s="104"/>
      <c r="D13" s="104"/>
      <c r="E13" s="104">
        <v>6</v>
      </c>
      <c r="F13" s="104"/>
      <c r="G13" s="104"/>
      <c r="H13" s="104">
        <v>1</v>
      </c>
      <c r="I13" s="104"/>
      <c r="J13" s="104"/>
      <c r="K13" s="104"/>
      <c r="L13" s="104" t="s">
        <v>66</v>
      </c>
      <c r="M13" s="104"/>
      <c r="N13" s="104" t="s">
        <v>66</v>
      </c>
      <c r="O13" s="104">
        <v>1</v>
      </c>
      <c r="P13" s="104">
        <v>1</v>
      </c>
      <c r="Q13" s="104"/>
      <c r="R13" s="104">
        <v>12</v>
      </c>
      <c r="S13" s="104">
        <v>3</v>
      </c>
      <c r="T13" s="104">
        <v>4</v>
      </c>
      <c r="U13" s="104">
        <v>4</v>
      </c>
      <c r="V13" s="104">
        <v>4</v>
      </c>
      <c r="W13" s="104" t="s">
        <v>66</v>
      </c>
      <c r="X13" s="104" t="s">
        <v>66</v>
      </c>
      <c r="Y13" s="104"/>
      <c r="Z13" s="104"/>
      <c r="AA13" s="79"/>
      <c r="AB13" s="104">
        <v>12</v>
      </c>
      <c r="AC13" s="71"/>
      <c r="AD13" s="104">
        <f>SUM(C13:AC13)</f>
        <v>48</v>
      </c>
    </row>
    <row r="14" spans="1:30" x14ac:dyDescent="0.35">
      <c r="A14" s="30">
        <v>13</v>
      </c>
      <c r="B14" s="87" t="s">
        <v>136</v>
      </c>
      <c r="C14" s="87"/>
      <c r="D14" s="87"/>
      <c r="E14" s="87"/>
      <c r="F14" s="87">
        <v>4</v>
      </c>
      <c r="G14" s="87"/>
      <c r="H14" s="87">
        <v>8</v>
      </c>
      <c r="I14" s="87" t="s">
        <v>66</v>
      </c>
      <c r="J14" s="87"/>
      <c r="K14" s="87"/>
      <c r="L14" s="87">
        <v>4</v>
      </c>
      <c r="M14" s="87">
        <v>4</v>
      </c>
      <c r="N14" s="87">
        <v>12</v>
      </c>
      <c r="O14" s="87">
        <v>4</v>
      </c>
      <c r="P14" s="87"/>
      <c r="Q14" s="87"/>
      <c r="R14" s="87" t="s">
        <v>66</v>
      </c>
      <c r="S14" s="87"/>
      <c r="T14" s="87"/>
      <c r="U14" s="87">
        <v>2</v>
      </c>
      <c r="V14" s="87" t="s">
        <v>66</v>
      </c>
      <c r="W14" s="87"/>
      <c r="X14" s="87"/>
      <c r="Y14" s="87">
        <v>6</v>
      </c>
      <c r="Z14" s="87"/>
      <c r="AA14" s="87"/>
      <c r="AB14" s="87">
        <v>1</v>
      </c>
      <c r="AC14" s="65"/>
      <c r="AD14" s="87">
        <f>SUM(C14:AC14)</f>
        <v>45</v>
      </c>
    </row>
    <row r="15" spans="1:30" x14ac:dyDescent="0.35">
      <c r="A15" s="30">
        <v>14</v>
      </c>
      <c r="B15" s="89" t="s">
        <v>58</v>
      </c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>
        <v>1</v>
      </c>
      <c r="N15" s="89">
        <v>6</v>
      </c>
      <c r="O15" s="89"/>
      <c r="P15" s="89"/>
      <c r="Q15" s="89"/>
      <c r="R15" s="89">
        <v>10</v>
      </c>
      <c r="S15" s="89"/>
      <c r="T15" s="89"/>
      <c r="U15" s="89"/>
      <c r="V15" s="89"/>
      <c r="W15" s="89"/>
      <c r="X15" s="89">
        <v>8</v>
      </c>
      <c r="Y15" s="89">
        <v>10</v>
      </c>
      <c r="Z15" s="89"/>
      <c r="AA15" s="89">
        <v>8</v>
      </c>
      <c r="AB15" s="89"/>
      <c r="AC15" s="67"/>
      <c r="AD15" s="89">
        <f>SUM(C15:AC15)</f>
        <v>43</v>
      </c>
    </row>
    <row r="16" spans="1:30" x14ac:dyDescent="0.35">
      <c r="A16" s="30">
        <v>15</v>
      </c>
      <c r="B16" s="89" t="s">
        <v>60</v>
      </c>
      <c r="C16" s="89"/>
      <c r="D16" s="89"/>
      <c r="E16" s="89"/>
      <c r="F16" s="89"/>
      <c r="G16" s="89"/>
      <c r="H16" s="89">
        <v>4</v>
      </c>
      <c r="I16" s="89"/>
      <c r="J16" s="89"/>
      <c r="K16" s="89" t="s">
        <v>66</v>
      </c>
      <c r="L16" s="89">
        <v>6</v>
      </c>
      <c r="M16" s="89"/>
      <c r="N16" s="89">
        <v>10</v>
      </c>
      <c r="O16" s="89"/>
      <c r="P16" s="89"/>
      <c r="Q16" s="89"/>
      <c r="R16" s="89">
        <v>6</v>
      </c>
      <c r="S16" s="89"/>
      <c r="T16" s="89"/>
      <c r="U16" s="89"/>
      <c r="V16" s="89">
        <v>2</v>
      </c>
      <c r="W16" s="89">
        <v>2</v>
      </c>
      <c r="X16" s="89">
        <v>2</v>
      </c>
      <c r="Y16" s="89">
        <v>2</v>
      </c>
      <c r="Z16" s="89"/>
      <c r="AA16" s="89"/>
      <c r="AB16" s="89"/>
      <c r="AC16" s="67"/>
      <c r="AD16" s="89">
        <f>SUM(C16:AC16)</f>
        <v>34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85"/>
      <c r="T17" s="85"/>
      <c r="U17" s="85"/>
      <c r="V17" s="85"/>
      <c r="W17" s="85">
        <v>4</v>
      </c>
      <c r="X17" s="85">
        <v>10</v>
      </c>
      <c r="Y17" s="58">
        <v>2</v>
      </c>
      <c r="Z17" s="85">
        <v>1</v>
      </c>
      <c r="AA17" s="85"/>
      <c r="AB17" s="85"/>
      <c r="AC17" s="63"/>
      <c r="AD17" s="85">
        <f>SUM(C17:AC17)</f>
        <v>31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91"/>
      <c r="X18" s="91"/>
      <c r="Y18" s="91"/>
      <c r="Z18" s="91"/>
      <c r="AA18" s="91" t="s">
        <v>66</v>
      </c>
      <c r="AB18" s="91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84"/>
      <c r="X19" s="84">
        <v>1</v>
      </c>
      <c r="Y19" s="84"/>
      <c r="Z19" s="84"/>
      <c r="AA19" s="84"/>
      <c r="AB19" s="84"/>
      <c r="AC19" s="69"/>
      <c r="AD19" s="84">
        <f>SUM(C19:AC19)</f>
        <v>9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85">
        <v>1</v>
      </c>
      <c r="X20" s="85"/>
      <c r="Y20" s="85"/>
      <c r="Z20" s="85" t="s">
        <v>66</v>
      </c>
      <c r="AA20" s="85"/>
      <c r="AB20" s="85"/>
      <c r="AC20" s="63"/>
      <c r="AD20" s="39">
        <f>SUM(C20:AC20)</f>
        <v>5</v>
      </c>
    </row>
    <row r="21" spans="1:30" x14ac:dyDescent="0.35">
      <c r="A21" s="30">
        <v>20</v>
      </c>
      <c r="B21" s="104" t="s">
        <v>135</v>
      </c>
      <c r="C21" s="104"/>
      <c r="D21" s="104" t="s">
        <v>66</v>
      </c>
      <c r="E21" s="104"/>
      <c r="F21" s="104"/>
      <c r="G21" s="104"/>
      <c r="H21" s="104" t="s">
        <v>66</v>
      </c>
      <c r="I21" s="104"/>
      <c r="J21" s="104"/>
      <c r="K21" s="104"/>
      <c r="L21" s="104"/>
      <c r="M21" s="104"/>
      <c r="N21" s="104" t="s">
        <v>66</v>
      </c>
      <c r="O21" s="104"/>
      <c r="P21" s="104"/>
      <c r="Q21" s="104"/>
      <c r="R21" s="104" t="s">
        <v>66</v>
      </c>
      <c r="S21" s="104"/>
      <c r="T21" s="104"/>
      <c r="U21" s="104"/>
      <c r="V21" s="104"/>
      <c r="W21" s="104"/>
      <c r="X21" s="104" t="s">
        <v>66</v>
      </c>
      <c r="Y21" s="104"/>
      <c r="Z21" s="104"/>
      <c r="AA21" s="104"/>
      <c r="AB21" s="104">
        <v>2</v>
      </c>
      <c r="AC21" s="71"/>
      <c r="AD21" s="104">
        <f>SUM(C21:AC21)</f>
        <v>2</v>
      </c>
    </row>
    <row r="22" spans="1:30" x14ac:dyDescent="0.35">
      <c r="A22" s="30">
        <v>21</v>
      </c>
      <c r="B22" s="88" t="s">
        <v>137</v>
      </c>
      <c r="C22" s="88"/>
      <c r="D22" s="88" t="s">
        <v>66</v>
      </c>
      <c r="E22" s="88"/>
      <c r="F22" s="88"/>
      <c r="G22" s="88" t="s">
        <v>66</v>
      </c>
      <c r="H22" s="88"/>
      <c r="I22" s="88"/>
      <c r="J22" s="88"/>
      <c r="K22" s="88"/>
      <c r="L22" s="88"/>
      <c r="M22" s="88"/>
      <c r="N22" s="88" t="s">
        <v>66</v>
      </c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>
        <v>1</v>
      </c>
      <c r="AB22" s="88"/>
      <c r="AC22" s="68"/>
      <c r="AD22" s="88">
        <f>SUM(C22:AC22)</f>
        <v>1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91"/>
      <c r="X23" s="91"/>
      <c r="Y23" s="91"/>
      <c r="Z23" s="91"/>
      <c r="AA23" s="91"/>
      <c r="AB23" s="91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O14" sqref="O14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59">
        <v>44</v>
      </c>
      <c r="X2" s="82">
        <v>12</v>
      </c>
      <c r="Y2" s="82">
        <v>40</v>
      </c>
      <c r="Z2" s="82">
        <v>14</v>
      </c>
      <c r="AA2" s="82">
        <v>43</v>
      </c>
      <c r="AB2" s="59">
        <v>44</v>
      </c>
      <c r="AC2" s="61"/>
      <c r="AD2" s="31">
        <f>SUM(C2:AC2)</f>
        <v>894</v>
      </c>
    </row>
    <row r="3" spans="1:30" x14ac:dyDescent="0.35">
      <c r="A3" s="32">
        <v>2</v>
      </c>
      <c r="B3" s="86" t="s">
        <v>14</v>
      </c>
      <c r="C3" s="86">
        <v>25</v>
      </c>
      <c r="D3" s="86">
        <v>15</v>
      </c>
      <c r="E3" s="59">
        <v>12</v>
      </c>
      <c r="F3" s="86">
        <v>11</v>
      </c>
      <c r="G3" s="86">
        <v>10</v>
      </c>
      <c r="H3" s="59">
        <v>26</v>
      </c>
      <c r="I3" s="86">
        <v>16</v>
      </c>
      <c r="J3" s="86">
        <v>7</v>
      </c>
      <c r="K3" s="59">
        <v>15</v>
      </c>
      <c r="L3" s="86">
        <v>26</v>
      </c>
      <c r="M3" s="86">
        <v>2</v>
      </c>
      <c r="N3" s="59">
        <v>20</v>
      </c>
      <c r="O3" s="86">
        <v>12</v>
      </c>
      <c r="P3" s="86">
        <v>19</v>
      </c>
      <c r="Q3" s="86">
        <v>14</v>
      </c>
      <c r="R3" s="86">
        <v>18</v>
      </c>
      <c r="S3" s="86">
        <v>10</v>
      </c>
      <c r="T3" s="86">
        <v>20</v>
      </c>
      <c r="U3" s="86">
        <v>18</v>
      </c>
      <c r="V3" s="86">
        <v>30</v>
      </c>
      <c r="W3" s="86">
        <v>22</v>
      </c>
      <c r="X3" s="59">
        <v>19</v>
      </c>
      <c r="Y3" s="86">
        <v>4</v>
      </c>
      <c r="Z3" s="59">
        <v>11</v>
      </c>
      <c r="AA3" s="86">
        <v>4</v>
      </c>
      <c r="AB3" s="86">
        <v>25</v>
      </c>
      <c r="AC3" s="66"/>
      <c r="AD3" s="86">
        <f>SUM(C3:AC3)</f>
        <v>411</v>
      </c>
    </row>
    <row r="4" spans="1:30" x14ac:dyDescent="0.35">
      <c r="A4" s="33">
        <v>3</v>
      </c>
      <c r="B4" s="83" t="s">
        <v>11</v>
      </c>
      <c r="C4" s="83">
        <v>18</v>
      </c>
      <c r="D4" s="58">
        <v>11</v>
      </c>
      <c r="E4" s="83">
        <v>26</v>
      </c>
      <c r="F4" s="83">
        <v>33</v>
      </c>
      <c r="G4" s="58">
        <v>34</v>
      </c>
      <c r="H4" s="83"/>
      <c r="I4" s="83">
        <v>12</v>
      </c>
      <c r="J4" s="58">
        <v>9</v>
      </c>
      <c r="K4" s="83">
        <v>10</v>
      </c>
      <c r="L4" s="83">
        <v>25</v>
      </c>
      <c r="M4" s="83">
        <v>21</v>
      </c>
      <c r="N4" s="83"/>
      <c r="O4" s="83">
        <v>28</v>
      </c>
      <c r="P4" s="83">
        <v>20</v>
      </c>
      <c r="Q4" s="58">
        <v>21</v>
      </c>
      <c r="R4" s="83">
        <v>4</v>
      </c>
      <c r="S4" s="83">
        <v>6</v>
      </c>
      <c r="T4" s="83">
        <v>2</v>
      </c>
      <c r="U4" s="58">
        <v>23</v>
      </c>
      <c r="V4" s="83">
        <v>6</v>
      </c>
      <c r="W4" s="83">
        <v>8</v>
      </c>
      <c r="X4" s="83">
        <v>25</v>
      </c>
      <c r="Y4" s="83">
        <v>30</v>
      </c>
      <c r="Z4" s="83">
        <v>5</v>
      </c>
      <c r="AA4" s="83">
        <v>15</v>
      </c>
      <c r="AB4" s="83">
        <v>8</v>
      </c>
      <c r="AC4" s="62"/>
      <c r="AD4" s="83">
        <f>SUM(C4:AC4)</f>
        <v>400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90">
        <v>21</v>
      </c>
      <c r="X5" s="90">
        <v>15</v>
      </c>
      <c r="Y5" s="90"/>
      <c r="Z5" s="90">
        <v>2</v>
      </c>
      <c r="AA5" s="90">
        <v>22</v>
      </c>
      <c r="AB5" s="90">
        <v>4</v>
      </c>
      <c r="AC5" s="70"/>
      <c r="AD5" s="45">
        <f>SUM(C5:AC5)</f>
        <v>238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87"/>
      <c r="X6" s="87">
        <v>6</v>
      </c>
      <c r="Y6" s="87">
        <v>6</v>
      </c>
      <c r="Z6" s="87">
        <v>3</v>
      </c>
      <c r="AA6" s="87">
        <v>2</v>
      </c>
      <c r="AB6" s="87">
        <v>7</v>
      </c>
      <c r="AC6" s="65"/>
      <c r="AD6" s="41">
        <f>SUM(C6:AC6)</f>
        <v>184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84"/>
      <c r="X7" s="84">
        <v>1</v>
      </c>
      <c r="Y7" s="84"/>
      <c r="Z7" s="84"/>
      <c r="AA7" s="84"/>
      <c r="AB7" s="84"/>
      <c r="AC7" s="69"/>
      <c r="AD7" s="38">
        <f>SUM(C7:AC7)</f>
        <v>97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89">
        <v>2</v>
      </c>
      <c r="X8" s="89">
        <v>10</v>
      </c>
      <c r="Y8" s="89">
        <v>12</v>
      </c>
      <c r="Z8" s="89"/>
      <c r="AA8" s="89">
        <v>8</v>
      </c>
      <c r="AB8" s="89"/>
      <c r="AC8" s="67"/>
      <c r="AD8" s="89">
        <f>SUM(C8:AC8)</f>
        <v>77</v>
      </c>
    </row>
    <row r="9" spans="1:30" x14ac:dyDescent="0.35">
      <c r="A9" s="30">
        <v>8</v>
      </c>
      <c r="B9" s="105" t="s">
        <v>19</v>
      </c>
      <c r="C9" s="105"/>
      <c r="D9" s="105"/>
      <c r="E9" s="105">
        <v>6</v>
      </c>
      <c r="F9" s="105"/>
      <c r="G9" s="105"/>
      <c r="H9" s="105">
        <v>1</v>
      </c>
      <c r="I9" s="105"/>
      <c r="J9" s="105"/>
      <c r="K9" s="105"/>
      <c r="L9" s="105"/>
      <c r="M9" s="105"/>
      <c r="N9" s="105"/>
      <c r="O9" s="105">
        <v>1</v>
      </c>
      <c r="P9" s="105">
        <v>1</v>
      </c>
      <c r="Q9" s="105"/>
      <c r="R9" s="105">
        <v>12</v>
      </c>
      <c r="S9" s="105">
        <v>3</v>
      </c>
      <c r="T9" s="105">
        <v>4</v>
      </c>
      <c r="U9" s="105">
        <v>4</v>
      </c>
      <c r="V9" s="105">
        <v>4</v>
      </c>
      <c r="W9" s="105"/>
      <c r="X9" s="105" t="s">
        <v>66</v>
      </c>
      <c r="Y9" s="105"/>
      <c r="Z9" s="105"/>
      <c r="AA9" s="59"/>
      <c r="AB9" s="105">
        <v>14</v>
      </c>
      <c r="AC9" s="72"/>
      <c r="AD9" s="104">
        <f>SUM(C9:AC9)</f>
        <v>50</v>
      </c>
    </row>
    <row r="10" spans="1:30" x14ac:dyDescent="0.35">
      <c r="A10" s="30">
        <v>9</v>
      </c>
      <c r="B10" s="88" t="s">
        <v>20</v>
      </c>
      <c r="C10" s="88"/>
      <c r="D10" s="88">
        <v>4</v>
      </c>
      <c r="E10" s="88"/>
      <c r="F10" s="88"/>
      <c r="G10" s="88"/>
      <c r="H10" s="88"/>
      <c r="I10" s="88"/>
      <c r="J10" s="88"/>
      <c r="K10" s="88"/>
      <c r="L10" s="88"/>
      <c r="M10" s="88"/>
      <c r="N10" s="88">
        <v>25</v>
      </c>
      <c r="O10" s="88"/>
      <c r="P10" s="88"/>
      <c r="Q10" s="88"/>
      <c r="R10" s="88"/>
      <c r="S10" s="88"/>
      <c r="T10" s="88"/>
      <c r="U10" s="88"/>
      <c r="V10" s="88">
        <v>1</v>
      </c>
      <c r="W10" s="88"/>
      <c r="X10" s="88">
        <v>4</v>
      </c>
      <c r="Y10" s="88">
        <v>8</v>
      </c>
      <c r="Z10" s="88"/>
      <c r="AA10" s="88">
        <v>7</v>
      </c>
      <c r="AB10" s="88"/>
      <c r="AC10" s="68"/>
      <c r="AD10" s="88">
        <f>SUM(C10:AC10)</f>
        <v>49</v>
      </c>
    </row>
    <row r="11" spans="1:30" x14ac:dyDescent="0.35">
      <c r="A11" s="30">
        <v>10</v>
      </c>
      <c r="B11" s="85" t="s">
        <v>13</v>
      </c>
      <c r="C11" s="58">
        <v>2</v>
      </c>
      <c r="D11" s="85"/>
      <c r="E11" s="85"/>
      <c r="F11" s="85"/>
      <c r="G11" s="85">
        <v>2</v>
      </c>
      <c r="H11" s="85"/>
      <c r="I11" s="85">
        <v>4</v>
      </c>
      <c r="J11" s="85"/>
      <c r="K11" s="85">
        <v>1</v>
      </c>
      <c r="L11" s="85"/>
      <c r="M11" s="58"/>
      <c r="N11" s="85"/>
      <c r="O11" s="85"/>
      <c r="P11" s="85"/>
      <c r="Q11" s="85">
        <v>1</v>
      </c>
      <c r="R11" s="85">
        <v>8</v>
      </c>
      <c r="S11" s="85"/>
      <c r="T11" s="85"/>
      <c r="U11" s="85"/>
      <c r="V11" s="85"/>
      <c r="W11" s="85">
        <v>5</v>
      </c>
      <c r="X11" s="85">
        <v>10</v>
      </c>
      <c r="Y11" s="58">
        <v>2</v>
      </c>
      <c r="Z11" s="85">
        <v>1</v>
      </c>
      <c r="AA11" s="85"/>
      <c r="AB11" s="85"/>
      <c r="AC11" s="63"/>
      <c r="AD11" s="85">
        <f>SUM(C11:AC11)</f>
        <v>36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575</v>
      </c>
      <c r="E28" s="108" t="s">
        <v>576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577</v>
      </c>
      <c r="E29" s="108" t="s">
        <v>578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579</v>
      </c>
      <c r="E30" s="106" t="s">
        <v>580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581</v>
      </c>
      <c r="E31" s="115" t="s">
        <v>582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583</v>
      </c>
      <c r="E32" s="110" t="s">
        <v>584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585</v>
      </c>
      <c r="E33" s="115" t="s">
        <v>586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587</v>
      </c>
      <c r="E34" s="106" t="s">
        <v>588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589</v>
      </c>
      <c r="E35" s="110" t="s">
        <v>590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591</v>
      </c>
      <c r="E36" s="113" t="s">
        <v>592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593</v>
      </c>
      <c r="E37" s="112" t="s">
        <v>594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595</v>
      </c>
      <c r="E38" s="109" t="s">
        <v>596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597</v>
      </c>
      <c r="E39" s="112" t="s">
        <v>598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599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600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601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602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603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604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605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606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607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608</v>
      </c>
      <c r="E49" s="114" t="s">
        <v>609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553</v>
      </c>
      <c r="E28" s="56" t="s">
        <v>544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554</v>
      </c>
      <c r="E29" s="55" t="s">
        <v>545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555</v>
      </c>
      <c r="E30" s="52" t="s">
        <v>546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556</v>
      </c>
      <c r="E31" s="52" t="s">
        <v>547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557</v>
      </c>
      <c r="E32" s="54" t="s">
        <v>548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558</v>
      </c>
      <c r="E33" s="53" t="s">
        <v>549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559</v>
      </c>
      <c r="E34" s="54" t="s">
        <v>550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560</v>
      </c>
      <c r="E35" s="57" t="s">
        <v>551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561</v>
      </c>
      <c r="E36" s="51" t="s">
        <v>552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562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563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564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565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566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567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568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569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570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571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572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573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574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611</v>
      </c>
      <c r="E28" s="108" t="s">
        <v>633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612</v>
      </c>
      <c r="E29" s="106" t="s">
        <v>610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613</v>
      </c>
      <c r="E30" s="108" t="s">
        <v>634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614</v>
      </c>
      <c r="E31" s="113" t="s">
        <v>635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615</v>
      </c>
      <c r="E32" s="106" t="s">
        <v>636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616</v>
      </c>
      <c r="E33" s="115" t="s">
        <v>637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617</v>
      </c>
      <c r="E34" s="109" t="s">
        <v>638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618</v>
      </c>
      <c r="E35" s="110" t="s">
        <v>639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619</v>
      </c>
      <c r="E36" s="115" t="s">
        <v>640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620</v>
      </c>
      <c r="E37" s="117" t="s">
        <v>641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621</v>
      </c>
      <c r="E38" s="112" t="s">
        <v>642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622</v>
      </c>
      <c r="E39" s="113" t="s">
        <v>643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623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624</v>
      </c>
      <c r="E41" s="114" t="s">
        <v>644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625</v>
      </c>
      <c r="E42" s="112" t="s">
        <v>645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626</v>
      </c>
      <c r="E43" s="107" t="s">
        <v>646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627</v>
      </c>
      <c r="E44" s="114" t="s">
        <v>647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628</v>
      </c>
      <c r="E45" s="107" t="s">
        <v>648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629</v>
      </c>
      <c r="E46" s="111" t="s">
        <v>649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630</v>
      </c>
      <c r="E47" s="109" t="s">
        <v>650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631</v>
      </c>
      <c r="E48" s="111" t="s">
        <v>651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632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652</v>
      </c>
      <c r="E28" s="108" t="s">
        <v>673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653</v>
      </c>
      <c r="E29" s="108" t="s">
        <v>674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654</v>
      </c>
      <c r="E30" s="113" t="s">
        <v>675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655</v>
      </c>
      <c r="E31" s="106" t="s">
        <v>676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656</v>
      </c>
      <c r="E32" s="110" t="s">
        <v>677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657</v>
      </c>
      <c r="E33" s="106" t="s">
        <v>678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658</v>
      </c>
      <c r="E34" s="109" t="s">
        <v>679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659</v>
      </c>
      <c r="E35" s="113" t="s">
        <v>680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660</v>
      </c>
      <c r="E36" s="115" t="s">
        <v>681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661</v>
      </c>
      <c r="E37" s="117" t="s">
        <v>682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662</v>
      </c>
      <c r="E38" s="114" t="s">
        <v>683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663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664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665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666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667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668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669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670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671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672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684</v>
      </c>
      <c r="E28" s="108" t="s">
        <v>704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685</v>
      </c>
      <c r="E29" s="108" t="s">
        <v>705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686</v>
      </c>
      <c r="E30" s="110" t="s">
        <v>706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687</v>
      </c>
      <c r="E31" s="106" t="s">
        <v>707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688</v>
      </c>
      <c r="E32" s="113" t="s">
        <v>708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689</v>
      </c>
      <c r="E33" s="106" t="s">
        <v>709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690</v>
      </c>
      <c r="E34" s="115" t="s">
        <v>710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691</v>
      </c>
      <c r="E35" s="113" t="s">
        <v>711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692</v>
      </c>
      <c r="E36" s="109" t="s">
        <v>712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693</v>
      </c>
      <c r="E37" s="107" t="s">
        <v>713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694</v>
      </c>
      <c r="E38" s="112" t="s">
        <v>714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695</v>
      </c>
      <c r="E39" s="117" t="s">
        <v>715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696</v>
      </c>
      <c r="E40" s="110" t="s">
        <v>716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697</v>
      </c>
      <c r="E41" s="114" t="s">
        <v>716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698</v>
      </c>
      <c r="E42" s="115" t="s">
        <v>716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699</v>
      </c>
      <c r="E43" s="112" t="s">
        <v>716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700</v>
      </c>
      <c r="E44" s="109" t="s">
        <v>716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701</v>
      </c>
      <c r="E45" s="114" t="s">
        <v>716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702</v>
      </c>
      <c r="E46" s="117" t="s">
        <v>716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716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703</v>
      </c>
      <c r="E48" s="111" t="s">
        <v>716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575</v>
      </c>
      <c r="E49" s="107" t="s">
        <v>717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718</v>
      </c>
      <c r="E28" s="108" t="s">
        <v>740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719</v>
      </c>
      <c r="E29" s="113" t="s">
        <v>741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720</v>
      </c>
      <c r="E30" s="108" t="s">
        <v>742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721</v>
      </c>
      <c r="E31" s="117" t="s">
        <v>743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722</v>
      </c>
      <c r="E32" s="112" t="s">
        <v>744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723</v>
      </c>
      <c r="E33" s="107" t="s">
        <v>745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724</v>
      </c>
      <c r="E34" s="112" t="s">
        <v>746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725</v>
      </c>
      <c r="E35" s="106" t="s">
        <v>747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726</v>
      </c>
      <c r="E36" s="110" t="s">
        <v>748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727</v>
      </c>
      <c r="E37" s="111" t="s">
        <v>749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728</v>
      </c>
      <c r="E38" s="111" t="s">
        <v>750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729</v>
      </c>
      <c r="E39" s="114" t="s">
        <v>751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730</v>
      </c>
      <c r="E40" s="115" t="s">
        <v>752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731</v>
      </c>
      <c r="E41" s="109" t="s">
        <v>753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732</v>
      </c>
      <c r="E42" s="114" t="s">
        <v>754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733</v>
      </c>
      <c r="E43" s="113" t="s">
        <v>755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734</v>
      </c>
      <c r="E44" s="115" t="s">
        <v>756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735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736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737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738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739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757</v>
      </c>
      <c r="E28" s="108" t="s">
        <v>779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758</v>
      </c>
      <c r="E29" s="108" t="s">
        <v>780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759</v>
      </c>
      <c r="E30" s="113" t="s">
        <v>781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760</v>
      </c>
      <c r="E31" s="106" t="s">
        <v>782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761</v>
      </c>
      <c r="E32" s="113" t="s">
        <v>783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762</v>
      </c>
      <c r="E33" s="117" t="s">
        <v>784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763</v>
      </c>
      <c r="E34" s="115" t="s">
        <v>785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764</v>
      </c>
      <c r="E35" s="106" t="s">
        <v>786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765</v>
      </c>
      <c r="E36" s="110" t="s">
        <v>787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766</v>
      </c>
      <c r="E37" s="107" t="s">
        <v>788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767</v>
      </c>
      <c r="E38" s="114" t="s">
        <v>789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768</v>
      </c>
      <c r="E39" s="115" t="s">
        <v>790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769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770</v>
      </c>
      <c r="E41" s="109" t="s">
        <v>791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771</v>
      </c>
      <c r="E42" s="111" t="s">
        <v>792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772</v>
      </c>
      <c r="E43" s="112" t="s">
        <v>793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773</v>
      </c>
      <c r="E44" s="111" t="s">
        <v>794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774</v>
      </c>
      <c r="E45" s="107" t="s">
        <v>795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775</v>
      </c>
      <c r="E46" s="117" t="s">
        <v>796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776</v>
      </c>
      <c r="E47" s="114" t="s">
        <v>797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777</v>
      </c>
      <c r="E48" s="112" t="s">
        <v>798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778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799</v>
      </c>
      <c r="E28" s="108" t="s">
        <v>820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800</v>
      </c>
      <c r="E29" s="108" t="s">
        <v>821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801</v>
      </c>
      <c r="E30" s="115" t="s">
        <v>822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802</v>
      </c>
      <c r="E31" s="113" t="s">
        <v>823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803</v>
      </c>
      <c r="E32" s="110" t="s">
        <v>824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804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805</v>
      </c>
      <c r="E34" s="115" t="s">
        <v>825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806</v>
      </c>
      <c r="E35" s="117" t="s">
        <v>826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807</v>
      </c>
      <c r="E36" s="106" t="s">
        <v>827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808</v>
      </c>
      <c r="E37" s="109" t="s">
        <v>828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809</v>
      </c>
      <c r="E38" s="111" t="s">
        <v>829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810</v>
      </c>
      <c r="E39" s="107" t="s">
        <v>830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811</v>
      </c>
      <c r="E40" s="106" t="s">
        <v>831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812</v>
      </c>
      <c r="E41" s="114" t="s">
        <v>832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804</v>
      </c>
      <c r="E42" s="112" t="s">
        <v>833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813</v>
      </c>
      <c r="E43" s="107" t="s">
        <v>834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814</v>
      </c>
      <c r="E44" s="110" t="s">
        <v>835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815</v>
      </c>
      <c r="E45" s="117" t="s">
        <v>648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816</v>
      </c>
      <c r="E46" s="111" t="s">
        <v>836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817</v>
      </c>
      <c r="E47" s="112" t="s">
        <v>837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818</v>
      </c>
      <c r="E48" s="109" t="s">
        <v>838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819</v>
      </c>
      <c r="E49" s="114" t="s">
        <v>839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840</v>
      </c>
      <c r="E28" s="108" t="s">
        <v>862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841</v>
      </c>
      <c r="E29" s="113" t="s">
        <v>863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842</v>
      </c>
      <c r="E30" s="108" t="s">
        <v>864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843</v>
      </c>
      <c r="E31" s="106" t="s">
        <v>865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844</v>
      </c>
      <c r="E32" s="106" t="s">
        <v>866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845</v>
      </c>
      <c r="E33" s="110" t="s">
        <v>867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846</v>
      </c>
      <c r="E34" s="115" t="s">
        <v>868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847</v>
      </c>
      <c r="E35" s="117" t="s">
        <v>869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848</v>
      </c>
      <c r="E36" s="110" t="s">
        <v>870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849</v>
      </c>
      <c r="E37" s="115" t="s">
        <v>871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850</v>
      </c>
      <c r="E38" s="112" t="s">
        <v>872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851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852</v>
      </c>
      <c r="E40" s="113" t="s">
        <v>873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853</v>
      </c>
      <c r="E41" s="111" t="s">
        <v>874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854</v>
      </c>
      <c r="E42" s="107" t="s">
        <v>875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855</v>
      </c>
      <c r="E43" s="114" t="s">
        <v>876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856</v>
      </c>
      <c r="E44" s="114" t="s">
        <v>877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857</v>
      </c>
      <c r="E45" s="112" t="s">
        <v>878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858</v>
      </c>
      <c r="E46" s="111" t="s">
        <v>879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859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860</v>
      </c>
      <c r="E48" s="107" t="s">
        <v>609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861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888</v>
      </c>
      <c r="E28" s="108" t="s">
        <v>880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889</v>
      </c>
      <c r="E29" s="113" t="s">
        <v>881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890</v>
      </c>
      <c r="E30" s="108" t="s">
        <v>882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891</v>
      </c>
      <c r="E31" s="113" t="s">
        <v>883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892</v>
      </c>
      <c r="E32" s="115" t="s">
        <v>884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893</v>
      </c>
      <c r="E33" s="110" t="s">
        <v>885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894</v>
      </c>
      <c r="E34" s="106" t="s">
        <v>886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895</v>
      </c>
      <c r="E35" s="117" t="s">
        <v>887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896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897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898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899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900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901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902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903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904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905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906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907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908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909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 t="shared" si="0"/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27"/>
      <c r="E4" s="81"/>
      <c r="F4" s="81"/>
    </row>
    <row r="5" spans="1:6" x14ac:dyDescent="0.35">
      <c r="A5" s="92">
        <v>3</v>
      </c>
      <c r="B5" s="85" t="s">
        <v>56</v>
      </c>
      <c r="C5" s="85" t="s">
        <v>13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5" t="s">
        <v>50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91" t="s">
        <v>134</v>
      </c>
      <c r="C12" s="91" t="s">
        <v>18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  <c r="E13" s="81"/>
      <c r="F13" s="81"/>
    </row>
    <row r="14" spans="1:6" x14ac:dyDescent="0.35">
      <c r="A14" s="92">
        <v>12</v>
      </c>
      <c r="B14" s="82" t="s">
        <v>51</v>
      </c>
      <c r="C14" s="82" t="s">
        <v>21</v>
      </c>
      <c r="D14" s="28"/>
      <c r="E14" s="81"/>
      <c r="F14" s="81"/>
    </row>
    <row r="15" spans="1:6" x14ac:dyDescent="0.35">
      <c r="A15" s="92">
        <v>13</v>
      </c>
      <c r="B15" s="90" t="s">
        <v>73</v>
      </c>
      <c r="C15" s="90" t="s">
        <v>17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3" t="s">
        <v>53</v>
      </c>
      <c r="C18" s="83" t="s">
        <v>11</v>
      </c>
      <c r="D18" s="27"/>
      <c r="E18" s="81"/>
      <c r="F18" s="81"/>
    </row>
    <row r="19" spans="1:6" x14ac:dyDescent="0.35">
      <c r="A19" s="92">
        <v>17</v>
      </c>
      <c r="B19" s="89" t="s">
        <v>58</v>
      </c>
      <c r="C19" s="89" t="s">
        <v>16</v>
      </c>
      <c r="D19" s="81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62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910</v>
      </c>
      <c r="E28" s="108" t="s">
        <v>932</v>
      </c>
      <c r="F28" s="82">
        <v>25</v>
      </c>
    </row>
    <row r="29" spans="1:6" x14ac:dyDescent="0.35">
      <c r="A29" s="92">
        <v>2</v>
      </c>
      <c r="B29" s="82" t="s">
        <v>51</v>
      </c>
      <c r="C29" s="82" t="s">
        <v>21</v>
      </c>
      <c r="D29" s="25" t="s">
        <v>911</v>
      </c>
      <c r="E29" s="108" t="s">
        <v>933</v>
      </c>
      <c r="F29" s="82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912</v>
      </c>
      <c r="E30" s="115" t="s">
        <v>934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913</v>
      </c>
      <c r="E31" s="113" t="s">
        <v>935</v>
      </c>
      <c r="F31" s="86">
        <v>12</v>
      </c>
    </row>
    <row r="32" spans="1:6" x14ac:dyDescent="0.35">
      <c r="A32" s="92">
        <v>5</v>
      </c>
      <c r="B32" s="116" t="s">
        <v>63</v>
      </c>
      <c r="C32" s="86" t="s">
        <v>14</v>
      </c>
      <c r="D32" s="100" t="s">
        <v>914</v>
      </c>
      <c r="E32" s="113" t="s">
        <v>715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915</v>
      </c>
      <c r="E33" s="106" t="s">
        <v>936</v>
      </c>
      <c r="F33" s="83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916</v>
      </c>
      <c r="E34" s="115" t="s">
        <v>937</v>
      </c>
      <c r="F34" s="90">
        <v>6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917</v>
      </c>
      <c r="E35" s="107" t="s">
        <v>938</v>
      </c>
      <c r="F35" s="85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918</v>
      </c>
      <c r="E36" s="112" t="s">
        <v>939</v>
      </c>
      <c r="F36" s="89">
        <v>2</v>
      </c>
    </row>
    <row r="37" spans="1:6" x14ac:dyDescent="0.35">
      <c r="A37" s="92">
        <v>10</v>
      </c>
      <c r="B37" s="85" t="s">
        <v>50</v>
      </c>
      <c r="C37" s="85" t="s">
        <v>13</v>
      </c>
      <c r="D37" s="94" t="s">
        <v>919</v>
      </c>
      <c r="E37" s="107" t="s">
        <v>940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920</v>
      </c>
      <c r="E38" s="112" t="s">
        <v>941</v>
      </c>
      <c r="F38" s="89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921</v>
      </c>
      <c r="E39" s="110" t="s">
        <v>942</v>
      </c>
      <c r="F39" s="87">
        <v>0</v>
      </c>
    </row>
    <row r="40" spans="1:6" x14ac:dyDescent="0.35">
      <c r="A40" s="92">
        <v>13</v>
      </c>
      <c r="B40" s="104" t="s">
        <v>135</v>
      </c>
      <c r="C40" s="105" t="s">
        <v>19</v>
      </c>
      <c r="D40" s="118" t="s">
        <v>922</v>
      </c>
      <c r="E40" s="117" t="s">
        <v>943</v>
      </c>
      <c r="F40" s="104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923</v>
      </c>
      <c r="E41" s="111" t="s">
        <v>226</v>
      </c>
      <c r="F41" s="91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924</v>
      </c>
      <c r="E42" s="111" t="s">
        <v>944</v>
      </c>
      <c r="F42" s="91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925</v>
      </c>
      <c r="E43" s="114" t="s">
        <v>945</v>
      </c>
      <c r="F43" s="88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926</v>
      </c>
      <c r="E44" s="109" t="s">
        <v>946</v>
      </c>
      <c r="F44" s="84">
        <v>0</v>
      </c>
    </row>
    <row r="45" spans="1:6" x14ac:dyDescent="0.35">
      <c r="A45" s="92">
        <v>18</v>
      </c>
      <c r="B45" s="83" t="s">
        <v>49</v>
      </c>
      <c r="C45" s="83" t="s">
        <v>11</v>
      </c>
      <c r="D45" s="93" t="s">
        <v>927</v>
      </c>
      <c r="E45" s="106" t="s">
        <v>947</v>
      </c>
      <c r="F45" s="83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928</v>
      </c>
      <c r="E46" s="109" t="s">
        <v>948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929</v>
      </c>
      <c r="E47" s="114" t="s">
        <v>949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930</v>
      </c>
      <c r="E48" s="117" t="s">
        <v>72</v>
      </c>
      <c r="F48" s="104" t="s">
        <v>66</v>
      </c>
    </row>
    <row r="49" spans="1:6" x14ac:dyDescent="0.35">
      <c r="A49" s="92">
        <v>22</v>
      </c>
      <c r="B49" s="87" t="s">
        <v>54</v>
      </c>
      <c r="C49" s="87" t="s">
        <v>15</v>
      </c>
      <c r="D49" s="97" t="s">
        <v>931</v>
      </c>
      <c r="E49" s="110" t="s">
        <v>72</v>
      </c>
      <c r="F49" s="87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22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21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 t="shared" si="0"/>
        <v>8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5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2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133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2" t="s">
        <v>51</v>
      </c>
      <c r="C9" s="82" t="s">
        <v>21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5" t="s">
        <v>50</v>
      </c>
      <c r="C11" s="85" t="s">
        <v>13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  <c r="E14" s="81"/>
      <c r="F14" s="81"/>
    </row>
    <row r="15" spans="1:6" x14ac:dyDescent="0.35">
      <c r="A15" s="92">
        <v>13</v>
      </c>
      <c r="B15" s="84" t="s">
        <v>65</v>
      </c>
      <c r="C15" s="84" t="s">
        <v>12</v>
      </c>
      <c r="D15" s="28"/>
      <c r="E15" s="81"/>
      <c r="F15" s="81"/>
    </row>
    <row r="16" spans="1:6" x14ac:dyDescent="0.35">
      <c r="A16" s="92">
        <v>14</v>
      </c>
      <c r="B16" s="90" t="s">
        <v>73</v>
      </c>
      <c r="C16" s="90" t="s">
        <v>17</v>
      </c>
      <c r="D16" s="27"/>
      <c r="E16" s="81"/>
      <c r="F16" s="81"/>
    </row>
    <row r="17" spans="1:6" x14ac:dyDescent="0.35">
      <c r="A17" s="92">
        <v>15</v>
      </c>
      <c r="B17" s="83" t="s">
        <v>49</v>
      </c>
      <c r="C17" s="83" t="s">
        <v>11</v>
      </c>
      <c r="D17" s="28"/>
      <c r="E17" s="81"/>
      <c r="F17" s="81"/>
    </row>
    <row r="18" spans="1:6" x14ac:dyDescent="0.35">
      <c r="A18" s="92">
        <v>16</v>
      </c>
      <c r="B18" s="89" t="s">
        <v>60</v>
      </c>
      <c r="C18" s="89" t="s">
        <v>16</v>
      </c>
      <c r="D18" s="27"/>
      <c r="E18" s="81"/>
      <c r="F18" s="81"/>
    </row>
    <row r="19" spans="1:6" x14ac:dyDescent="0.35">
      <c r="A19" s="92">
        <v>17</v>
      </c>
      <c r="B19" s="104" t="s">
        <v>64</v>
      </c>
      <c r="C19" s="105" t="s">
        <v>19</v>
      </c>
      <c r="D19" s="81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7" t="s">
        <v>54</v>
      </c>
      <c r="C21" s="87" t="s">
        <v>15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3" t="s">
        <v>49</v>
      </c>
      <c r="C28" s="83" t="s">
        <v>11</v>
      </c>
      <c r="D28" s="93" t="s">
        <v>950</v>
      </c>
      <c r="E28" s="106" t="s">
        <v>972</v>
      </c>
      <c r="F28" s="83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25" t="s">
        <v>951</v>
      </c>
      <c r="E29" s="113" t="s">
        <v>385</v>
      </c>
      <c r="F29" s="86">
        <v>19</v>
      </c>
    </row>
    <row r="30" spans="1:6" x14ac:dyDescent="0.35">
      <c r="A30" s="92">
        <v>3</v>
      </c>
      <c r="B30" s="90" t="s">
        <v>73</v>
      </c>
      <c r="C30" s="90" t="s">
        <v>17</v>
      </c>
      <c r="D30" s="90" t="s">
        <v>952</v>
      </c>
      <c r="E30" s="115" t="s">
        <v>973</v>
      </c>
      <c r="F30" s="90">
        <v>15</v>
      </c>
    </row>
    <row r="31" spans="1:6" x14ac:dyDescent="0.35">
      <c r="A31" s="92">
        <v>4</v>
      </c>
      <c r="B31" s="82" t="s">
        <v>51</v>
      </c>
      <c r="C31" s="82" t="s">
        <v>21</v>
      </c>
      <c r="D31" s="108" t="s">
        <v>953</v>
      </c>
      <c r="E31" s="108" t="s">
        <v>974</v>
      </c>
      <c r="F31" s="82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954</v>
      </c>
      <c r="E32" s="107" t="s">
        <v>975</v>
      </c>
      <c r="F32" s="85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955</v>
      </c>
      <c r="E33" s="112" t="s">
        <v>976</v>
      </c>
      <c r="F33" s="89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956</v>
      </c>
      <c r="E34" s="110" t="s">
        <v>977</v>
      </c>
      <c r="F34" s="87">
        <v>6</v>
      </c>
    </row>
    <row r="35" spans="1:6" x14ac:dyDescent="0.35">
      <c r="A35" s="92">
        <v>8</v>
      </c>
      <c r="B35" s="88" t="s">
        <v>62</v>
      </c>
      <c r="C35" s="88" t="s">
        <v>20</v>
      </c>
      <c r="D35" s="102" t="s">
        <v>957</v>
      </c>
      <c r="E35" s="114" t="s">
        <v>978</v>
      </c>
      <c r="F35" s="88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958</v>
      </c>
      <c r="E36" s="112" t="s">
        <v>979</v>
      </c>
      <c r="F36" s="89">
        <v>2</v>
      </c>
    </row>
    <row r="37" spans="1:6" x14ac:dyDescent="0.35">
      <c r="A37" s="92">
        <v>10</v>
      </c>
      <c r="B37" s="84" t="s">
        <v>65</v>
      </c>
      <c r="C37" s="84" t="s">
        <v>12</v>
      </c>
      <c r="D37" s="96" t="s">
        <v>959</v>
      </c>
      <c r="E37" s="109" t="s">
        <v>980</v>
      </c>
      <c r="F37" s="84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960</v>
      </c>
      <c r="E38" s="110" t="s">
        <v>421</v>
      </c>
      <c r="F38" s="87">
        <v>0</v>
      </c>
    </row>
    <row r="39" spans="1:6" x14ac:dyDescent="0.35">
      <c r="A39" s="92">
        <v>12</v>
      </c>
      <c r="B39" s="90" t="s">
        <v>133</v>
      </c>
      <c r="C39" s="90" t="s">
        <v>17</v>
      </c>
      <c r="D39" s="103" t="s">
        <v>961</v>
      </c>
      <c r="E39" s="115" t="s">
        <v>981</v>
      </c>
      <c r="F39" s="90">
        <v>0</v>
      </c>
    </row>
    <row r="40" spans="1:6" x14ac:dyDescent="0.35">
      <c r="A40" s="92">
        <v>13</v>
      </c>
      <c r="B40" s="91" t="s">
        <v>134</v>
      </c>
      <c r="C40" s="91" t="s">
        <v>18</v>
      </c>
      <c r="D40" s="98" t="s">
        <v>962</v>
      </c>
      <c r="E40" s="111" t="s">
        <v>982</v>
      </c>
      <c r="F40" s="91">
        <v>0</v>
      </c>
    </row>
    <row r="41" spans="1:6" x14ac:dyDescent="0.35">
      <c r="A41" s="92">
        <v>14</v>
      </c>
      <c r="B41" s="82" t="s">
        <v>52</v>
      </c>
      <c r="C41" s="82" t="s">
        <v>21</v>
      </c>
      <c r="D41" s="108" t="s">
        <v>963</v>
      </c>
      <c r="E41" s="108" t="s">
        <v>983</v>
      </c>
      <c r="F41" s="82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964</v>
      </c>
      <c r="E42" s="111" t="s">
        <v>984</v>
      </c>
      <c r="F42" s="91">
        <v>0</v>
      </c>
    </row>
    <row r="43" spans="1:6" x14ac:dyDescent="0.35">
      <c r="A43" s="92">
        <v>16</v>
      </c>
      <c r="B43" s="116" t="s">
        <v>63</v>
      </c>
      <c r="C43" s="86" t="s">
        <v>14</v>
      </c>
      <c r="D43" s="100" t="s">
        <v>965</v>
      </c>
      <c r="E43" s="113" t="s">
        <v>985</v>
      </c>
      <c r="F43" s="86">
        <v>0</v>
      </c>
    </row>
    <row r="44" spans="1:6" x14ac:dyDescent="0.35">
      <c r="A44" s="92">
        <v>17</v>
      </c>
      <c r="B44" s="84" t="s">
        <v>55</v>
      </c>
      <c r="C44" s="84" t="s">
        <v>12</v>
      </c>
      <c r="D44" s="96" t="s">
        <v>966</v>
      </c>
      <c r="E44" s="109" t="s">
        <v>71</v>
      </c>
      <c r="F44" s="84">
        <v>0</v>
      </c>
    </row>
    <row r="45" spans="1:6" x14ac:dyDescent="0.35">
      <c r="A45" s="92">
        <v>18</v>
      </c>
      <c r="B45" s="83" t="s">
        <v>53</v>
      </c>
      <c r="C45" s="83" t="s">
        <v>11</v>
      </c>
      <c r="D45" s="93" t="s">
        <v>967</v>
      </c>
      <c r="E45" s="106" t="s">
        <v>71</v>
      </c>
      <c r="F45" s="83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968</v>
      </c>
      <c r="E46" s="107" t="s">
        <v>71</v>
      </c>
      <c r="F46" s="85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969</v>
      </c>
      <c r="E47" s="114" t="s">
        <v>71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970</v>
      </c>
      <c r="E48" s="117" t="s">
        <v>72</v>
      </c>
      <c r="F48" s="104" t="s">
        <v>66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971</v>
      </c>
      <c r="E49" s="117" t="s">
        <v>72</v>
      </c>
      <c r="F49" s="10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 t="shared" ref="C53:C63" si="0">SUMIF($C$28:$C$48,B53,$F$28:$F$48)</f>
        <v>25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19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15</v>
      </c>
      <c r="D55" s="81"/>
      <c r="E55" s="81"/>
      <c r="F55" s="81"/>
    </row>
    <row r="56" spans="1:6" x14ac:dyDescent="0.35">
      <c r="A56" s="92">
        <v>4</v>
      </c>
      <c r="B56" s="82" t="s">
        <v>21</v>
      </c>
      <c r="C56" s="82">
        <f t="shared" si="0"/>
        <v>12</v>
      </c>
      <c r="D56" s="81"/>
      <c r="E56" s="81"/>
      <c r="F56" s="81"/>
    </row>
    <row r="57" spans="1:6" x14ac:dyDescent="0.35">
      <c r="A57" s="92">
        <v>5</v>
      </c>
      <c r="B57" s="89" t="s">
        <v>16</v>
      </c>
      <c r="C57" s="89">
        <f t="shared" si="0"/>
        <v>10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 t="shared" si="0"/>
        <v>10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6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4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1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3" t="s">
        <v>49</v>
      </c>
      <c r="C3" s="83" t="s">
        <v>11</v>
      </c>
      <c r="D3" s="27"/>
      <c r="E3" s="81"/>
      <c r="F3" s="81"/>
    </row>
    <row r="4" spans="1:6" x14ac:dyDescent="0.35">
      <c r="A4" s="92">
        <v>2</v>
      </c>
      <c r="B4" s="83" t="s">
        <v>53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88" t="s">
        <v>62</v>
      </c>
      <c r="C9" s="88" t="s">
        <v>20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82" t="s">
        <v>51</v>
      </c>
      <c r="C11" s="82" t="s">
        <v>21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90" t="s">
        <v>133</v>
      </c>
      <c r="C14" s="90" t="s">
        <v>17</v>
      </c>
      <c r="D14" s="28"/>
      <c r="E14" s="81"/>
      <c r="F14" s="81"/>
    </row>
    <row r="15" spans="1:6" x14ac:dyDescent="0.35">
      <c r="A15" s="92">
        <v>13</v>
      </c>
      <c r="B15" s="87" t="s">
        <v>136</v>
      </c>
      <c r="C15" s="87" t="s">
        <v>15</v>
      </c>
      <c r="D15" s="28"/>
      <c r="E15" s="81"/>
      <c r="F15" s="81"/>
    </row>
    <row r="16" spans="1:6" x14ac:dyDescent="0.35">
      <c r="A16" s="92">
        <v>14</v>
      </c>
      <c r="B16" s="104" t="s">
        <v>135</v>
      </c>
      <c r="C16" s="105" t="s">
        <v>19</v>
      </c>
      <c r="D16" s="27"/>
      <c r="E16" s="81"/>
      <c r="F16" s="81"/>
    </row>
    <row r="17" spans="1:6" x14ac:dyDescent="0.35">
      <c r="A17" s="92">
        <v>15</v>
      </c>
      <c r="B17" s="104" t="s">
        <v>64</v>
      </c>
      <c r="C17" s="105" t="s">
        <v>19</v>
      </c>
      <c r="D17" s="28"/>
      <c r="E17" s="81"/>
      <c r="F17" s="81"/>
    </row>
    <row r="18" spans="1:6" x14ac:dyDescent="0.35">
      <c r="A18" s="92">
        <v>16</v>
      </c>
      <c r="B18" s="91" t="s">
        <v>57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4" t="s">
        <v>65</v>
      </c>
      <c r="C20" s="84" t="s">
        <v>12</v>
      </c>
      <c r="D20" s="28"/>
      <c r="E20" s="81"/>
      <c r="F20" s="81"/>
    </row>
    <row r="21" spans="1:6" x14ac:dyDescent="0.35">
      <c r="A21" s="92">
        <v>19</v>
      </c>
      <c r="B21" s="84" t="s">
        <v>55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134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5" t="s">
        <v>50</v>
      </c>
      <c r="C24" s="85" t="s">
        <v>13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986</v>
      </c>
      <c r="E28" s="108" t="s">
        <v>1020</v>
      </c>
      <c r="F28" s="82">
        <v>25</v>
      </c>
    </row>
    <row r="29" spans="1:6" x14ac:dyDescent="0.35">
      <c r="A29" s="92">
        <v>2</v>
      </c>
      <c r="B29" s="83" t="s">
        <v>53</v>
      </c>
      <c r="C29" s="83" t="s">
        <v>11</v>
      </c>
      <c r="D29" s="93" t="s">
        <v>987</v>
      </c>
      <c r="E29" s="106" t="s">
        <v>1008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988</v>
      </c>
      <c r="E30" s="108" t="s">
        <v>1009</v>
      </c>
      <c r="F30" s="82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106" t="s">
        <v>989</v>
      </c>
      <c r="E31" s="106" t="s">
        <v>1010</v>
      </c>
      <c r="F31" s="83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990</v>
      </c>
      <c r="E32" s="112" t="s">
        <v>1011</v>
      </c>
      <c r="F32" s="89">
        <v>10</v>
      </c>
    </row>
    <row r="33" spans="1:6" x14ac:dyDescent="0.35">
      <c r="A33" s="92">
        <v>6</v>
      </c>
      <c r="B33" s="88" t="s">
        <v>62</v>
      </c>
      <c r="C33" s="88" t="s">
        <v>20</v>
      </c>
      <c r="D33" s="102" t="s">
        <v>991</v>
      </c>
      <c r="E33" s="114" t="s">
        <v>1012</v>
      </c>
      <c r="F33" s="88">
        <v>8</v>
      </c>
    </row>
    <row r="34" spans="1:6" x14ac:dyDescent="0.35">
      <c r="A34" s="92">
        <v>7</v>
      </c>
      <c r="B34" s="87" t="s">
        <v>136</v>
      </c>
      <c r="C34" s="87" t="s">
        <v>15</v>
      </c>
      <c r="D34" s="97" t="s">
        <v>992</v>
      </c>
      <c r="E34" s="110" t="s">
        <v>756</v>
      </c>
      <c r="F34" s="87">
        <v>6</v>
      </c>
    </row>
    <row r="35" spans="1:6" x14ac:dyDescent="0.35">
      <c r="A35" s="92">
        <v>8</v>
      </c>
      <c r="B35" s="86" t="s">
        <v>59</v>
      </c>
      <c r="C35" s="86" t="s">
        <v>14</v>
      </c>
      <c r="D35" s="113" t="s">
        <v>993</v>
      </c>
      <c r="E35" s="113" t="s">
        <v>1013</v>
      </c>
      <c r="F35" s="86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994</v>
      </c>
      <c r="E36" s="112" t="s">
        <v>1014</v>
      </c>
      <c r="F36" s="89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101" t="s">
        <v>995</v>
      </c>
      <c r="E37" s="107" t="s">
        <v>1015</v>
      </c>
      <c r="F37" s="85">
        <v>2</v>
      </c>
    </row>
    <row r="38" spans="1:6" x14ac:dyDescent="0.35">
      <c r="A38" s="92">
        <v>11</v>
      </c>
      <c r="B38" s="116" t="s">
        <v>63</v>
      </c>
      <c r="C38" s="86" t="s">
        <v>14</v>
      </c>
      <c r="D38" s="100" t="s">
        <v>996</v>
      </c>
      <c r="E38" s="113" t="s">
        <v>1016</v>
      </c>
      <c r="F38" s="86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997</v>
      </c>
      <c r="E39" s="117" t="s">
        <v>1017</v>
      </c>
      <c r="F39" s="104">
        <v>0</v>
      </c>
    </row>
    <row r="40" spans="1:6" x14ac:dyDescent="0.35">
      <c r="A40" s="92">
        <v>13</v>
      </c>
      <c r="B40" s="85" t="s">
        <v>50</v>
      </c>
      <c r="C40" s="85" t="s">
        <v>13</v>
      </c>
      <c r="D40" s="94" t="s">
        <v>998</v>
      </c>
      <c r="E40" s="107" t="s">
        <v>1018</v>
      </c>
      <c r="F40" s="85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999</v>
      </c>
      <c r="E41" s="109" t="s">
        <v>1019</v>
      </c>
      <c r="F41" s="84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1000</v>
      </c>
      <c r="E42" s="115" t="s">
        <v>71</v>
      </c>
      <c r="F42" s="90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1001</v>
      </c>
      <c r="E43" s="114" t="s">
        <v>71</v>
      </c>
      <c r="F43" s="88">
        <v>0</v>
      </c>
    </row>
    <row r="44" spans="1:6" x14ac:dyDescent="0.35">
      <c r="A44" s="92">
        <v>17</v>
      </c>
      <c r="B44" s="87" t="s">
        <v>54</v>
      </c>
      <c r="C44" s="87" t="s">
        <v>15</v>
      </c>
      <c r="D44" s="97" t="s">
        <v>1002</v>
      </c>
      <c r="E44" s="110" t="s">
        <v>71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1003</v>
      </c>
      <c r="E45" s="117" t="s">
        <v>71</v>
      </c>
      <c r="F45" s="104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1004</v>
      </c>
      <c r="E46" s="109" t="s">
        <v>71</v>
      </c>
      <c r="F46" s="84">
        <v>0</v>
      </c>
    </row>
    <row r="47" spans="1:6" x14ac:dyDescent="0.35">
      <c r="A47" s="92">
        <v>20</v>
      </c>
      <c r="B47" s="91" t="s">
        <v>57</v>
      </c>
      <c r="C47" s="91" t="s">
        <v>18</v>
      </c>
      <c r="D47" s="98" t="s">
        <v>1005</v>
      </c>
      <c r="E47" s="111" t="s">
        <v>71</v>
      </c>
      <c r="F47" s="91">
        <v>0</v>
      </c>
    </row>
    <row r="48" spans="1:6" x14ac:dyDescent="0.35">
      <c r="A48" s="92">
        <v>21</v>
      </c>
      <c r="B48" s="91" t="s">
        <v>134</v>
      </c>
      <c r="C48" s="91" t="s">
        <v>18</v>
      </c>
      <c r="D48" s="98" t="s">
        <v>1006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73</v>
      </c>
      <c r="C49" s="90" t="s">
        <v>17</v>
      </c>
      <c r="D49" s="90" t="s">
        <v>1007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30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12</v>
      </c>
      <c r="D55" s="81"/>
      <c r="E55" s="81"/>
      <c r="F55" s="81"/>
    </row>
    <row r="56" spans="1:6" x14ac:dyDescent="0.35">
      <c r="A56" s="92">
        <v>4</v>
      </c>
      <c r="B56" s="88" t="s">
        <v>20</v>
      </c>
      <c r="C56" s="88">
        <f t="shared" si="0"/>
        <v>8</v>
      </c>
      <c r="D56" s="81"/>
      <c r="E56" s="81"/>
      <c r="F56" s="81"/>
    </row>
    <row r="57" spans="1:6" x14ac:dyDescent="0.35">
      <c r="A57" s="92">
        <v>5</v>
      </c>
      <c r="B57" s="87" t="s">
        <v>15</v>
      </c>
      <c r="C57" s="87">
        <f t="shared" si="0"/>
        <v>6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 t="shared" si="0"/>
        <v>4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2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105" t="s">
        <v>19</v>
      </c>
      <c r="C61" s="105">
        <f t="shared" si="0"/>
        <v>0</v>
      </c>
      <c r="D61" s="81"/>
      <c r="E61" s="81"/>
      <c r="F61" s="81"/>
    </row>
    <row r="62" spans="1:6" x14ac:dyDescent="0.35">
      <c r="A62" s="92">
        <v>10</v>
      </c>
      <c r="B62" s="91" t="s">
        <v>18</v>
      </c>
      <c r="C62" s="91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activeCell="E8" sqref="E8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51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</row>
    <row r="9" spans="1:6" x14ac:dyDescent="0.35">
      <c r="A9" s="92">
        <v>7</v>
      </c>
      <c r="B9" s="83" t="s">
        <v>53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104" t="s">
        <v>64</v>
      </c>
      <c r="C12" s="105" t="s">
        <v>19</v>
      </c>
      <c r="D12" s="28"/>
      <c r="E12" s="81"/>
      <c r="F12" s="81"/>
    </row>
    <row r="13" spans="1:6" x14ac:dyDescent="0.35">
      <c r="A13" s="92">
        <v>11</v>
      </c>
      <c r="B13" s="85" t="s">
        <v>56</v>
      </c>
      <c r="C13" s="85" t="s">
        <v>13</v>
      </c>
      <c r="D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</row>
    <row r="15" spans="1:6" x14ac:dyDescent="0.35">
      <c r="A15" s="92">
        <v>13</v>
      </c>
      <c r="B15" s="88" t="s">
        <v>62</v>
      </c>
      <c r="C15" s="88" t="s">
        <v>20</v>
      </c>
      <c r="D15" s="28"/>
    </row>
    <row r="16" spans="1:6" x14ac:dyDescent="0.35">
      <c r="A16" s="92">
        <v>14</v>
      </c>
      <c r="B16" s="87" t="s">
        <v>136</v>
      </c>
      <c r="C16" s="87" t="s">
        <v>15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</row>
    <row r="19" spans="1:6" x14ac:dyDescent="0.35">
      <c r="A19" s="92">
        <v>17</v>
      </c>
      <c r="B19" s="89" t="s">
        <v>60</v>
      </c>
      <c r="C19" s="89" t="s">
        <v>16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  <c r="E20" s="81"/>
      <c r="F20" s="81"/>
    </row>
    <row r="21" spans="1:6" x14ac:dyDescent="0.35">
      <c r="A21" s="92">
        <v>19</v>
      </c>
      <c r="B21" s="84" t="s">
        <v>65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82" t="s">
        <v>1021</v>
      </c>
      <c r="E28" s="108" t="s">
        <v>1043</v>
      </c>
      <c r="F28" s="82">
        <v>8</v>
      </c>
    </row>
    <row r="29" spans="1:6" x14ac:dyDescent="0.35">
      <c r="A29" s="92">
        <v>2</v>
      </c>
      <c r="B29" s="116" t="s">
        <v>63</v>
      </c>
      <c r="C29" s="86" t="s">
        <v>14</v>
      </c>
      <c r="D29" s="25" t="s">
        <v>1022</v>
      </c>
      <c r="E29" s="113" t="s">
        <v>1044</v>
      </c>
      <c r="F29" s="86">
        <v>7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1023</v>
      </c>
      <c r="E30" s="108" t="s">
        <v>1045</v>
      </c>
      <c r="F30" s="82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1024</v>
      </c>
      <c r="E31" s="106" t="s">
        <v>1046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13" t="s">
        <v>1025</v>
      </c>
      <c r="E32" s="113" t="s">
        <v>420</v>
      </c>
      <c r="F32" s="86">
        <v>4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1026</v>
      </c>
      <c r="E33" s="110" t="s">
        <v>1047</v>
      </c>
      <c r="F33" s="87">
        <v>3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1027</v>
      </c>
      <c r="E34" s="115" t="s">
        <v>1048</v>
      </c>
      <c r="F34" s="90">
        <v>2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1028</v>
      </c>
      <c r="E35" s="107" t="s">
        <v>1049</v>
      </c>
      <c r="F35" s="85">
        <v>1</v>
      </c>
    </row>
    <row r="36" spans="1:6" x14ac:dyDescent="0.35">
      <c r="A36" s="92">
        <v>9</v>
      </c>
      <c r="B36" s="90" t="s">
        <v>133</v>
      </c>
      <c r="C36" s="90" t="s">
        <v>17</v>
      </c>
      <c r="D36" s="103" t="s">
        <v>1029</v>
      </c>
      <c r="E36" s="115" t="s">
        <v>1050</v>
      </c>
      <c r="F36" s="90">
        <v>0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1030</v>
      </c>
      <c r="E37" s="117" t="s">
        <v>1051</v>
      </c>
      <c r="F37" s="104">
        <v>0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1031</v>
      </c>
      <c r="E38" s="109" t="s">
        <v>1052</v>
      </c>
      <c r="F38" s="84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1032</v>
      </c>
      <c r="E39" s="110" t="s">
        <v>1053</v>
      </c>
      <c r="F39" s="87">
        <v>0</v>
      </c>
    </row>
    <row r="40" spans="1:6" x14ac:dyDescent="0.35">
      <c r="A40" s="92">
        <v>13</v>
      </c>
      <c r="B40" s="89" t="s">
        <v>60</v>
      </c>
      <c r="C40" s="89" t="s">
        <v>16</v>
      </c>
      <c r="D40" s="99" t="s">
        <v>1033</v>
      </c>
      <c r="E40" s="112" t="s">
        <v>1054</v>
      </c>
      <c r="F40" s="89">
        <v>0</v>
      </c>
    </row>
    <row r="41" spans="1:6" x14ac:dyDescent="0.35">
      <c r="A41" s="92">
        <v>14</v>
      </c>
      <c r="B41" s="89" t="s">
        <v>58</v>
      </c>
      <c r="C41" s="89" t="s">
        <v>16</v>
      </c>
      <c r="D41" s="99" t="s">
        <v>1034</v>
      </c>
      <c r="E41" s="112" t="s">
        <v>1055</v>
      </c>
      <c r="F41" s="89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1035</v>
      </c>
      <c r="E42" s="114" t="s">
        <v>1056</v>
      </c>
      <c r="F42" s="88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1036</v>
      </c>
      <c r="E43" s="117" t="s">
        <v>1057</v>
      </c>
      <c r="F43" s="104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1037</v>
      </c>
      <c r="E44" s="111" t="s">
        <v>1058</v>
      </c>
      <c r="F44" s="91">
        <v>0</v>
      </c>
    </row>
    <row r="45" spans="1:6" x14ac:dyDescent="0.35">
      <c r="A45" s="92">
        <v>18</v>
      </c>
      <c r="B45" s="91" t="s">
        <v>134</v>
      </c>
      <c r="C45" s="91" t="s">
        <v>18</v>
      </c>
      <c r="D45" s="98" t="s">
        <v>1038</v>
      </c>
      <c r="E45" s="111" t="s">
        <v>1059</v>
      </c>
      <c r="F45" s="91">
        <v>0</v>
      </c>
    </row>
    <row r="46" spans="1:6" x14ac:dyDescent="0.35">
      <c r="A46" s="92">
        <v>19</v>
      </c>
      <c r="B46" s="84" t="s">
        <v>65</v>
      </c>
      <c r="C46" s="84" t="s">
        <v>12</v>
      </c>
      <c r="D46" s="96" t="s">
        <v>1039</v>
      </c>
      <c r="E46" s="109" t="s">
        <v>1060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1040</v>
      </c>
      <c r="E47" s="114" t="s">
        <v>1061</v>
      </c>
      <c r="F47" s="88">
        <v>0</v>
      </c>
    </row>
    <row r="48" spans="1:6" x14ac:dyDescent="0.35">
      <c r="A48" s="92">
        <v>21</v>
      </c>
      <c r="B48" s="83" t="s">
        <v>53</v>
      </c>
      <c r="C48" s="83" t="s">
        <v>11</v>
      </c>
      <c r="D48" s="106" t="s">
        <v>1041</v>
      </c>
      <c r="E48" s="106" t="s">
        <v>1062</v>
      </c>
      <c r="F48" s="83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1042</v>
      </c>
      <c r="E49" s="107" t="s">
        <v>72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14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SUMIF($C$28:$C$49,B54,$F$28:$F$49)</f>
        <v>11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>SUMIF($C$28:$C$49,B55,$F$28:$F$49)</f>
        <v>5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>SUMIF($C$28:$C$49,B56,$F$28:$F$49)</f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>SUMIF($C$28:$C$49,B57,$F$28:$F$49)</f>
        <v>2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>SUMIF($C$28:$C$49,B58,$F$28:$F$49)</f>
        <v>1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>SUMIF($C$28:$C$49,B59,$F$28:$F$49)</f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73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104" t="s">
        <v>64</v>
      </c>
      <c r="C8" s="105" t="s">
        <v>19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7" t="s">
        <v>136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8" t="s">
        <v>62</v>
      </c>
      <c r="C14" s="88" t="s">
        <v>20</v>
      </c>
      <c r="D14" s="28"/>
      <c r="E14" s="81"/>
      <c r="F14" s="81"/>
    </row>
    <row r="15" spans="1:6" x14ac:dyDescent="0.35">
      <c r="A15" s="92">
        <v>13</v>
      </c>
      <c r="B15" s="86" t="s">
        <v>59</v>
      </c>
      <c r="C15" s="86" t="s">
        <v>14</v>
      </c>
      <c r="D15" s="28"/>
      <c r="E15" s="81"/>
      <c r="F15" s="81"/>
    </row>
    <row r="16" spans="1:6" x14ac:dyDescent="0.35">
      <c r="A16" s="92">
        <v>14</v>
      </c>
      <c r="B16" s="87" t="s">
        <v>54</v>
      </c>
      <c r="C16" s="87" t="s">
        <v>15</v>
      </c>
      <c r="D16" s="27"/>
      <c r="E16" s="81"/>
      <c r="F16" s="81"/>
    </row>
    <row r="17" spans="1:6" x14ac:dyDescent="0.35">
      <c r="A17" s="92">
        <v>15</v>
      </c>
      <c r="B17" s="116" t="s">
        <v>63</v>
      </c>
      <c r="C17" s="86" t="s">
        <v>14</v>
      </c>
      <c r="D17" s="28"/>
      <c r="E17" s="81"/>
      <c r="F17" s="81"/>
    </row>
    <row r="18" spans="1:6" x14ac:dyDescent="0.35">
      <c r="A18" s="92">
        <v>16</v>
      </c>
      <c r="B18" s="84" t="s">
        <v>55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5" t="s">
        <v>56</v>
      </c>
      <c r="C19" s="85" t="s">
        <v>13</v>
      </c>
      <c r="D19" s="81"/>
      <c r="E19" s="81"/>
      <c r="F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  <c r="E20" s="81"/>
      <c r="F20" s="81"/>
    </row>
    <row r="21" spans="1:6" x14ac:dyDescent="0.35">
      <c r="A21" s="92">
        <v>19</v>
      </c>
      <c r="B21" s="84" t="s">
        <v>65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85" t="s">
        <v>50</v>
      </c>
      <c r="C22" s="85" t="s">
        <v>13</v>
      </c>
      <c r="D22" s="28"/>
      <c r="E22" s="81"/>
      <c r="F22" s="81"/>
    </row>
    <row r="23" spans="1:6" x14ac:dyDescent="0.35">
      <c r="A23" s="92">
        <v>21</v>
      </c>
      <c r="B23" s="91" t="s">
        <v>134</v>
      </c>
      <c r="C23" s="91" t="s">
        <v>18</v>
      </c>
      <c r="D23" s="27"/>
      <c r="E23" s="81"/>
      <c r="F23" s="81"/>
    </row>
    <row r="24" spans="1:6" x14ac:dyDescent="0.35">
      <c r="A24" s="92">
        <v>22</v>
      </c>
      <c r="B24" s="91" t="s">
        <v>57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1063</v>
      </c>
      <c r="E28" s="108" t="s">
        <v>1084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108" t="s">
        <v>1064</v>
      </c>
      <c r="E29" s="108" t="s">
        <v>1085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106" t="s">
        <v>1065</v>
      </c>
      <c r="E30" s="106" t="s">
        <v>1086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1066</v>
      </c>
      <c r="E31" s="115" t="s">
        <v>1087</v>
      </c>
      <c r="F31" s="90">
        <v>12</v>
      </c>
    </row>
    <row r="32" spans="1:6" x14ac:dyDescent="0.35">
      <c r="A32" s="92">
        <v>5</v>
      </c>
      <c r="B32" s="90" t="s">
        <v>73</v>
      </c>
      <c r="C32" s="90" t="s">
        <v>17</v>
      </c>
      <c r="D32" s="90" t="s">
        <v>1067</v>
      </c>
      <c r="E32" s="115" t="s">
        <v>1088</v>
      </c>
      <c r="F32" s="90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1068</v>
      </c>
      <c r="E33" s="112" t="s">
        <v>1089</v>
      </c>
      <c r="F33" s="89">
        <v>8</v>
      </c>
    </row>
    <row r="34" spans="1:6" x14ac:dyDescent="0.35">
      <c r="A34" s="92">
        <v>7</v>
      </c>
      <c r="B34" s="88" t="s">
        <v>62</v>
      </c>
      <c r="C34" s="88" t="s">
        <v>20</v>
      </c>
      <c r="D34" s="102" t="s">
        <v>1069</v>
      </c>
      <c r="E34" s="114" t="s">
        <v>1090</v>
      </c>
      <c r="F34" s="88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1070</v>
      </c>
      <c r="E35" s="113" t="s">
        <v>1091</v>
      </c>
      <c r="F35" s="86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1071</v>
      </c>
      <c r="E36" s="110" t="s">
        <v>1092</v>
      </c>
      <c r="F36" s="87">
        <v>2</v>
      </c>
    </row>
    <row r="37" spans="1:6" x14ac:dyDescent="0.35">
      <c r="A37" s="92">
        <v>10</v>
      </c>
      <c r="B37" s="88" t="s">
        <v>137</v>
      </c>
      <c r="C37" s="88" t="s">
        <v>20</v>
      </c>
      <c r="D37" s="102" t="s">
        <v>1072</v>
      </c>
      <c r="E37" s="114" t="s">
        <v>1093</v>
      </c>
      <c r="F37" s="88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1073</v>
      </c>
      <c r="E38" s="110" t="s">
        <v>1094</v>
      </c>
      <c r="F38" s="87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359</v>
      </c>
      <c r="E39" s="112" t="s">
        <v>1095</v>
      </c>
      <c r="F39" s="89">
        <v>0</v>
      </c>
    </row>
    <row r="40" spans="1:6" x14ac:dyDescent="0.35">
      <c r="A40" s="92">
        <v>13</v>
      </c>
      <c r="B40" s="84" t="s">
        <v>55</v>
      </c>
      <c r="C40" s="84" t="s">
        <v>12</v>
      </c>
      <c r="D40" s="96" t="s">
        <v>1074</v>
      </c>
      <c r="E40" s="109" t="s">
        <v>1096</v>
      </c>
      <c r="F40" s="84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107" t="s">
        <v>1075</v>
      </c>
      <c r="E41" s="107" t="s">
        <v>1097</v>
      </c>
      <c r="F41" s="85">
        <v>0</v>
      </c>
    </row>
    <row r="42" spans="1:6" x14ac:dyDescent="0.35">
      <c r="A42" s="92">
        <v>15</v>
      </c>
      <c r="B42" s="104" t="s">
        <v>64</v>
      </c>
      <c r="C42" s="105" t="s">
        <v>19</v>
      </c>
      <c r="D42" s="123" t="s">
        <v>1076</v>
      </c>
      <c r="E42" s="117" t="s">
        <v>1098</v>
      </c>
      <c r="F42" s="104">
        <v>0</v>
      </c>
    </row>
    <row r="43" spans="1:6" x14ac:dyDescent="0.35">
      <c r="A43" s="92">
        <v>16</v>
      </c>
      <c r="B43" s="83" t="s">
        <v>53</v>
      </c>
      <c r="C43" s="83" t="s">
        <v>11</v>
      </c>
      <c r="D43" s="93" t="s">
        <v>1077</v>
      </c>
      <c r="E43" s="106" t="s">
        <v>1099</v>
      </c>
      <c r="F43" s="83">
        <v>0</v>
      </c>
    </row>
    <row r="44" spans="1:6" x14ac:dyDescent="0.35">
      <c r="A44" s="92">
        <v>17</v>
      </c>
      <c r="B44" s="86" t="s">
        <v>59</v>
      </c>
      <c r="C44" s="86" t="s">
        <v>14</v>
      </c>
      <c r="D44" s="113" t="s">
        <v>1078</v>
      </c>
      <c r="E44" s="113" t="s">
        <v>1100</v>
      </c>
      <c r="F44" s="86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1079</v>
      </c>
      <c r="E45" s="109" t="s">
        <v>1101</v>
      </c>
      <c r="F45" s="84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1080</v>
      </c>
      <c r="E46" s="117" t="s">
        <v>1102</v>
      </c>
      <c r="F46" s="104">
        <v>0</v>
      </c>
    </row>
    <row r="47" spans="1:6" x14ac:dyDescent="0.35">
      <c r="A47" s="92">
        <v>20</v>
      </c>
      <c r="B47" s="91" t="s">
        <v>57</v>
      </c>
      <c r="C47" s="91" t="s">
        <v>18</v>
      </c>
      <c r="D47" s="98" t="s">
        <v>1081</v>
      </c>
      <c r="E47" s="111" t="s">
        <v>71</v>
      </c>
      <c r="F47" s="91">
        <v>0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1082</v>
      </c>
      <c r="E48" s="107" t="s">
        <v>71</v>
      </c>
      <c r="F48" s="85">
        <v>0</v>
      </c>
    </row>
    <row r="49" spans="1:6" x14ac:dyDescent="0.35">
      <c r="A49" s="92">
        <v>22</v>
      </c>
      <c r="B49" s="91" t="s">
        <v>134</v>
      </c>
      <c r="C49" s="91" t="s">
        <v>18</v>
      </c>
      <c r="D49" s="98" t="s">
        <v>1083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43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>SUMIF($C$28:$C$49,B54,$F$28:$F$49)</f>
        <v>22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>SUMIF($C$28:$C$49,B55,$F$28:$F$49)</f>
        <v>15</v>
      </c>
      <c r="D55" s="81"/>
      <c r="E55" s="81"/>
      <c r="F55" s="81"/>
    </row>
    <row r="56" spans="1:6" x14ac:dyDescent="0.35">
      <c r="A56" s="92">
        <v>4</v>
      </c>
      <c r="B56" s="89" t="s">
        <v>16</v>
      </c>
      <c r="C56" s="89">
        <f>SUMIF($C$28:$C$49,B56,$F$28:$F$49)</f>
        <v>8</v>
      </c>
      <c r="D56" s="81"/>
      <c r="E56" s="81"/>
      <c r="F56" s="81"/>
    </row>
    <row r="57" spans="1:6" x14ac:dyDescent="0.35">
      <c r="A57" s="92">
        <v>5</v>
      </c>
      <c r="B57" s="88" t="s">
        <v>20</v>
      </c>
      <c r="C57" s="88">
        <f>SUMIF($C$28:$C$49,B57,$F$28:$F$49)</f>
        <v>7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>SUMIF($C$28:$C$49,B58,$F$28:$F$49)</f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>SUMIF($C$28:$C$49,B59,$F$28:$F$49)</f>
        <v>2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topLeftCell="A2" zoomScale="130" zoomScaleNormal="130" workbookViewId="0">
      <selection activeCell="E18" sqref="A1:XFD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3" t="s">
        <v>49</v>
      </c>
      <c r="C3" s="83" t="s">
        <v>11</v>
      </c>
      <c r="D3" s="27"/>
      <c r="E3" s="81"/>
      <c r="F3" s="81"/>
    </row>
    <row r="4" spans="1:6" x14ac:dyDescent="0.35">
      <c r="A4" s="92">
        <v>2</v>
      </c>
      <c r="B4" s="104" t="s">
        <v>64</v>
      </c>
      <c r="C4" s="105" t="s">
        <v>19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</row>
    <row r="8" spans="1:6" x14ac:dyDescent="0.35">
      <c r="A8" s="92">
        <v>6</v>
      </c>
      <c r="B8" s="87" t="s">
        <v>54</v>
      </c>
      <c r="C8" s="87" t="s">
        <v>15</v>
      </c>
      <c r="D8" s="27"/>
    </row>
    <row r="9" spans="1:6" x14ac:dyDescent="0.35">
      <c r="A9" s="92">
        <v>7</v>
      </c>
      <c r="B9" s="90" t="s">
        <v>73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104" t="s">
        <v>135</v>
      </c>
      <c r="C12" s="105" t="s">
        <v>19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</row>
    <row r="14" spans="1:6" x14ac:dyDescent="0.35">
      <c r="A14" s="92">
        <v>12</v>
      </c>
      <c r="B14" s="89" t="s">
        <v>58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85" t="s">
        <v>50</v>
      </c>
      <c r="C16" s="85" t="s">
        <v>13</v>
      </c>
      <c r="D16" s="27"/>
      <c r="E16" s="81"/>
      <c r="F16" s="81"/>
    </row>
    <row r="17" spans="1:6" x14ac:dyDescent="0.35">
      <c r="A17" s="92">
        <v>15</v>
      </c>
      <c r="B17" s="88" t="s">
        <v>137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91" t="s">
        <v>57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84" t="s">
        <v>55</v>
      </c>
      <c r="C19" s="84" t="s">
        <v>12</v>
      </c>
      <c r="D19" s="81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84" t="s">
        <v>65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134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2" t="s">
        <v>51</v>
      </c>
      <c r="C23" s="82" t="s">
        <v>21</v>
      </c>
      <c r="D23" s="27"/>
      <c r="E23" s="81"/>
      <c r="F23" s="81"/>
    </row>
    <row r="24" spans="1:6" x14ac:dyDescent="0.35">
      <c r="A24" s="92">
        <v>22</v>
      </c>
      <c r="B24" s="82" t="s">
        <v>52</v>
      </c>
      <c r="C24" s="82" t="s">
        <v>21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24" t="s">
        <v>1123</v>
      </c>
      <c r="E28" s="108" t="s">
        <v>1105</v>
      </c>
      <c r="F28" s="82">
        <v>26</v>
      </c>
    </row>
    <row r="29" spans="1:6" x14ac:dyDescent="0.35">
      <c r="A29" s="92">
        <v>2</v>
      </c>
      <c r="B29" s="82" t="s">
        <v>52</v>
      </c>
      <c r="C29" s="82" t="s">
        <v>21</v>
      </c>
      <c r="D29" s="108" t="s">
        <v>1124</v>
      </c>
      <c r="E29" s="108" t="s">
        <v>1106</v>
      </c>
      <c r="F29" s="82">
        <v>18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1125</v>
      </c>
      <c r="E30" s="113" t="s">
        <v>1107</v>
      </c>
      <c r="F30" s="86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7" t="s">
        <v>1126</v>
      </c>
      <c r="E31" s="117" t="s">
        <v>1108</v>
      </c>
      <c r="F31" s="104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13" t="s">
        <v>1127</v>
      </c>
      <c r="E32" s="113" t="s">
        <v>1109</v>
      </c>
      <c r="F32" s="86">
        <v>10</v>
      </c>
    </row>
    <row r="33" spans="1:6" x14ac:dyDescent="0.35">
      <c r="A33" s="92">
        <v>6</v>
      </c>
      <c r="B33" s="83" t="s">
        <v>49</v>
      </c>
      <c r="C33" s="83" t="s">
        <v>11</v>
      </c>
      <c r="D33" s="106" t="s">
        <v>1128</v>
      </c>
      <c r="E33" s="106" t="s">
        <v>1110</v>
      </c>
      <c r="F33" s="83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1129</v>
      </c>
      <c r="E34" s="110" t="s">
        <v>1111</v>
      </c>
      <c r="F34" s="87">
        <v>6</v>
      </c>
    </row>
    <row r="35" spans="1:6" x14ac:dyDescent="0.35">
      <c r="A35" s="92">
        <v>8</v>
      </c>
      <c r="B35" s="90" t="s">
        <v>133</v>
      </c>
      <c r="C35" s="90" t="s">
        <v>17</v>
      </c>
      <c r="D35" s="103" t="s">
        <v>1130</v>
      </c>
      <c r="E35" s="115" t="s">
        <v>1112</v>
      </c>
      <c r="F35" s="90">
        <v>4</v>
      </c>
    </row>
    <row r="36" spans="1:6" x14ac:dyDescent="0.35">
      <c r="A36" s="92">
        <v>9</v>
      </c>
      <c r="B36" s="104" t="s">
        <v>135</v>
      </c>
      <c r="C36" s="105" t="s">
        <v>19</v>
      </c>
      <c r="D36" s="118" t="s">
        <v>1131</v>
      </c>
      <c r="E36" s="117" t="s">
        <v>1113</v>
      </c>
      <c r="F36" s="104">
        <v>2</v>
      </c>
    </row>
    <row r="37" spans="1:6" x14ac:dyDescent="0.35">
      <c r="A37" s="92">
        <v>10</v>
      </c>
      <c r="B37" s="87" t="s">
        <v>136</v>
      </c>
      <c r="C37" s="87" t="s">
        <v>15</v>
      </c>
      <c r="D37" s="97" t="s">
        <v>1132</v>
      </c>
      <c r="E37" s="110" t="s">
        <v>1114</v>
      </c>
      <c r="F37" s="87">
        <v>1</v>
      </c>
    </row>
    <row r="38" spans="1:6" x14ac:dyDescent="0.35">
      <c r="A38" s="92">
        <v>11</v>
      </c>
      <c r="B38" s="91" t="s">
        <v>134</v>
      </c>
      <c r="C38" s="91" t="s">
        <v>18</v>
      </c>
      <c r="D38" s="98" t="s">
        <v>1133</v>
      </c>
      <c r="E38" s="111" t="s">
        <v>1115</v>
      </c>
      <c r="F38" s="91">
        <v>0</v>
      </c>
    </row>
    <row r="39" spans="1:6" x14ac:dyDescent="0.35">
      <c r="A39" s="92">
        <v>12</v>
      </c>
      <c r="B39" s="83" t="s">
        <v>53</v>
      </c>
      <c r="C39" s="83" t="s">
        <v>11</v>
      </c>
      <c r="D39" s="93" t="s">
        <v>1134</v>
      </c>
      <c r="E39" s="106" t="s">
        <v>1116</v>
      </c>
      <c r="F39" s="83">
        <v>0</v>
      </c>
    </row>
    <row r="40" spans="1:6" x14ac:dyDescent="0.35">
      <c r="A40" s="92">
        <v>13</v>
      </c>
      <c r="B40" s="89" t="s">
        <v>60</v>
      </c>
      <c r="C40" s="89" t="s">
        <v>16</v>
      </c>
      <c r="D40" s="99" t="s">
        <v>1135</v>
      </c>
      <c r="E40" s="112" t="s">
        <v>1117</v>
      </c>
      <c r="F40" s="89">
        <v>0</v>
      </c>
    </row>
    <row r="41" spans="1:6" x14ac:dyDescent="0.35">
      <c r="A41" s="92">
        <v>14</v>
      </c>
      <c r="B41" s="91" t="s">
        <v>57</v>
      </c>
      <c r="C41" s="91" t="s">
        <v>18</v>
      </c>
      <c r="D41" s="98" t="s">
        <v>1136</v>
      </c>
      <c r="E41" s="111" t="s">
        <v>1118</v>
      </c>
      <c r="F41" s="91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1137</v>
      </c>
      <c r="E42" s="112" t="s">
        <v>1119</v>
      </c>
      <c r="F42" s="89">
        <v>0</v>
      </c>
    </row>
    <row r="43" spans="1:6" x14ac:dyDescent="0.35">
      <c r="A43" s="92">
        <v>16</v>
      </c>
      <c r="B43" s="90" t="s">
        <v>73</v>
      </c>
      <c r="C43" s="90" t="s">
        <v>17</v>
      </c>
      <c r="D43" s="90" t="s">
        <v>1138</v>
      </c>
      <c r="E43" s="115" t="s">
        <v>1120</v>
      </c>
      <c r="F43" s="90">
        <v>0</v>
      </c>
    </row>
    <row r="44" spans="1:6" x14ac:dyDescent="0.35">
      <c r="A44" s="92">
        <v>17</v>
      </c>
      <c r="B44" s="88" t="s">
        <v>62</v>
      </c>
      <c r="C44" s="88" t="s">
        <v>20</v>
      </c>
      <c r="D44" s="102" t="s">
        <v>1139</v>
      </c>
      <c r="E44" s="114" t="s">
        <v>1121</v>
      </c>
      <c r="F44" s="88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1140</v>
      </c>
      <c r="E45" s="114" t="s">
        <v>1122</v>
      </c>
      <c r="F45" s="88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1141</v>
      </c>
      <c r="E46" s="109" t="s">
        <v>71</v>
      </c>
      <c r="F46" s="84">
        <v>0</v>
      </c>
    </row>
    <row r="47" spans="1:6" x14ac:dyDescent="0.35">
      <c r="A47" s="92">
        <v>20</v>
      </c>
      <c r="B47" s="85" t="s">
        <v>56</v>
      </c>
      <c r="C47" s="85" t="s">
        <v>13</v>
      </c>
      <c r="D47" s="107" t="s">
        <v>1142</v>
      </c>
      <c r="E47" s="107" t="s">
        <v>71</v>
      </c>
      <c r="F47" s="85">
        <v>0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1143</v>
      </c>
      <c r="E48" s="107" t="s">
        <v>71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1144</v>
      </c>
      <c r="E49" s="109" t="s">
        <v>71</v>
      </c>
      <c r="F49" s="8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SUMIF($C$28:$C$48,B54,$F$28:$F$48)</f>
        <v>25</v>
      </c>
      <c r="D54" s="81"/>
      <c r="E54" s="81"/>
      <c r="F54" s="81"/>
    </row>
    <row r="55" spans="1:6" x14ac:dyDescent="0.35">
      <c r="A55" s="92">
        <v>3</v>
      </c>
      <c r="B55" s="105" t="s">
        <v>19</v>
      </c>
      <c r="C55" s="105">
        <f>SUMIF($C$28:$C$48,B55,$F$28:$F$48)</f>
        <v>14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>SUMIF($C$28:$C$48,B56,$F$28:$F$48)</f>
        <v>8</v>
      </c>
      <c r="D56" s="81"/>
      <c r="E56" s="81"/>
      <c r="F56" s="81"/>
    </row>
    <row r="57" spans="1:6" x14ac:dyDescent="0.35">
      <c r="A57" s="92">
        <v>5</v>
      </c>
      <c r="B57" s="87" t="s">
        <v>15</v>
      </c>
      <c r="C57" s="87">
        <f>SUMIF($C$28:$C$48,B57,$F$28:$F$48)</f>
        <v>7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>SUMIF($C$28:$C$48,B58,$F$28:$F$48)</f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>SUMIF($C$28:$C$48,B59,$F$28:$F$48)</f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SUMIF($C$28:$C$48,B60,$F$28:$F$48)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SUMIF($C$28:$C$48,B61,$F$28:$F$48)</f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>SUMIF($C$28:$C$48,B62,$F$28:$F$48)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SUMIF($C$28:$C$48,B63,$F$28:$F$48)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tabSelected="1" zoomScale="130" zoomScaleNormal="130" workbookViewId="0">
      <selection activeCell="F22" sqref="F22"/>
    </sheetView>
  </sheetViews>
  <sheetFormatPr defaultRowHeight="14.5" x14ac:dyDescent="0.35"/>
  <cols>
    <col min="1" max="1" width="8.36328125" style="81" bestFit="1" customWidth="1"/>
    <col min="2" max="2" width="15.36328125" style="81" bestFit="1" customWidth="1"/>
    <col min="3" max="3" width="40.08984375" style="81" bestFit="1" customWidth="1"/>
    <col min="4" max="4" width="1.6328125" style="81" customWidth="1"/>
    <col min="5" max="5" width="15.36328125" style="81" bestFit="1" customWidth="1"/>
    <col min="6" max="6" width="40.08984375" style="81" bestFit="1" customWidth="1"/>
    <col min="7" max="16384" width="8.7265625" style="81"/>
  </cols>
  <sheetData>
    <row r="1" spans="1:4" x14ac:dyDescent="0.35">
      <c r="A1" s="119" t="s">
        <v>508</v>
      </c>
      <c r="B1" s="76"/>
      <c r="C1" s="76"/>
    </row>
    <row r="2" spans="1:4" x14ac:dyDescent="0.35">
      <c r="A2" s="92" t="s">
        <v>115</v>
      </c>
      <c r="B2" s="92" t="s">
        <v>22</v>
      </c>
      <c r="C2" s="92" t="s">
        <v>0</v>
      </c>
      <c r="D2" s="26"/>
    </row>
    <row r="3" spans="1:4" x14ac:dyDescent="0.35">
      <c r="A3" s="92">
        <v>1</v>
      </c>
      <c r="B3" s="82" t="s">
        <v>51</v>
      </c>
      <c r="C3" s="82" t="s">
        <v>21</v>
      </c>
      <c r="D3" s="27"/>
    </row>
    <row r="4" spans="1:4" x14ac:dyDescent="0.35">
      <c r="A4" s="92">
        <v>2</v>
      </c>
      <c r="B4" s="104" t="s">
        <v>64</v>
      </c>
      <c r="C4" s="105" t="s">
        <v>19</v>
      </c>
      <c r="D4" s="27"/>
    </row>
    <row r="5" spans="1:4" x14ac:dyDescent="0.35">
      <c r="A5" s="92">
        <v>3</v>
      </c>
      <c r="B5" s="86" t="s">
        <v>59</v>
      </c>
      <c r="C5" s="86" t="s">
        <v>14</v>
      </c>
      <c r="D5" s="28"/>
    </row>
    <row r="6" spans="1:4" x14ac:dyDescent="0.35">
      <c r="A6" s="92">
        <v>4</v>
      </c>
      <c r="B6" s="83" t="s">
        <v>49</v>
      </c>
      <c r="C6" s="83" t="s">
        <v>11</v>
      </c>
      <c r="D6" s="28"/>
    </row>
    <row r="7" spans="1:4" x14ac:dyDescent="0.35">
      <c r="A7" s="92">
        <v>5</v>
      </c>
      <c r="B7" s="82" t="s">
        <v>52</v>
      </c>
      <c r="C7" s="82" t="s">
        <v>21</v>
      </c>
      <c r="D7" s="27"/>
    </row>
    <row r="8" spans="1:4" x14ac:dyDescent="0.35">
      <c r="A8" s="92">
        <v>6</v>
      </c>
      <c r="B8" s="116" t="s">
        <v>63</v>
      </c>
      <c r="C8" s="86" t="s">
        <v>14</v>
      </c>
      <c r="D8" s="27"/>
    </row>
    <row r="9" spans="1:4" x14ac:dyDescent="0.35">
      <c r="A9" s="92">
        <v>7</v>
      </c>
      <c r="B9" s="104" t="s">
        <v>135</v>
      </c>
      <c r="C9" s="105" t="s">
        <v>19</v>
      </c>
    </row>
    <row r="10" spans="1:4" x14ac:dyDescent="0.35">
      <c r="A10" s="92">
        <v>8</v>
      </c>
      <c r="B10" s="91" t="s">
        <v>134</v>
      </c>
      <c r="C10" s="91" t="s">
        <v>18</v>
      </c>
      <c r="D10" s="27"/>
    </row>
    <row r="11" spans="1:4" x14ac:dyDescent="0.35">
      <c r="A11" s="92">
        <v>9</v>
      </c>
      <c r="B11" s="83" t="s">
        <v>53</v>
      </c>
      <c r="C11" s="83" t="s">
        <v>11</v>
      </c>
      <c r="D11" s="28"/>
    </row>
    <row r="12" spans="1:4" x14ac:dyDescent="0.35">
      <c r="A12" s="92">
        <v>10</v>
      </c>
      <c r="B12" s="89" t="s">
        <v>60</v>
      </c>
      <c r="C12" s="89" t="s">
        <v>16</v>
      </c>
      <c r="D12" s="28"/>
    </row>
    <row r="13" spans="1:4" x14ac:dyDescent="0.35">
      <c r="A13" s="92">
        <v>11</v>
      </c>
      <c r="B13" s="87" t="s">
        <v>54</v>
      </c>
      <c r="C13" s="87" t="s">
        <v>15</v>
      </c>
    </row>
    <row r="14" spans="1:4" x14ac:dyDescent="0.35">
      <c r="A14" s="92">
        <v>12</v>
      </c>
      <c r="B14" s="91" t="s">
        <v>57</v>
      </c>
      <c r="C14" s="91" t="s">
        <v>18</v>
      </c>
      <c r="D14" s="28"/>
    </row>
    <row r="15" spans="1:4" x14ac:dyDescent="0.35">
      <c r="A15" s="92">
        <v>13</v>
      </c>
      <c r="B15" s="88" t="s">
        <v>62</v>
      </c>
      <c r="C15" s="88" t="s">
        <v>20</v>
      </c>
      <c r="D15" s="28"/>
    </row>
    <row r="16" spans="1:4" x14ac:dyDescent="0.35">
      <c r="A16" s="92">
        <v>14</v>
      </c>
      <c r="B16" s="84" t="s">
        <v>65</v>
      </c>
      <c r="C16" s="84" t="s">
        <v>12</v>
      </c>
      <c r="D16" s="27"/>
    </row>
    <row r="17" spans="1:6" x14ac:dyDescent="0.35">
      <c r="A17" s="92">
        <v>15</v>
      </c>
      <c r="B17" s="84" t="s">
        <v>55</v>
      </c>
      <c r="C17" s="84" t="s">
        <v>12</v>
      </c>
      <c r="D17" s="28"/>
    </row>
    <row r="18" spans="1:6" x14ac:dyDescent="0.35">
      <c r="A18" s="92">
        <v>16</v>
      </c>
      <c r="B18" s="90" t="s">
        <v>73</v>
      </c>
      <c r="C18" s="90" t="s">
        <v>17</v>
      </c>
      <c r="D18" s="27"/>
    </row>
    <row r="19" spans="1:6" x14ac:dyDescent="0.35">
      <c r="A19" s="92">
        <v>17</v>
      </c>
      <c r="B19" s="87" t="s">
        <v>136</v>
      </c>
      <c r="C19" s="87" t="s">
        <v>15</v>
      </c>
    </row>
    <row r="20" spans="1:6" x14ac:dyDescent="0.35">
      <c r="A20" s="92">
        <v>18</v>
      </c>
      <c r="B20" s="90" t="s">
        <v>133</v>
      </c>
      <c r="C20" s="90" t="s">
        <v>17</v>
      </c>
      <c r="D20" s="28"/>
    </row>
    <row r="21" spans="1:6" x14ac:dyDescent="0.35">
      <c r="A21" s="92">
        <v>19</v>
      </c>
      <c r="B21" s="85" t="s">
        <v>56</v>
      </c>
      <c r="C21" s="85" t="s">
        <v>13</v>
      </c>
      <c r="D21" s="28"/>
    </row>
    <row r="22" spans="1:6" x14ac:dyDescent="0.35">
      <c r="A22" s="92">
        <v>20</v>
      </c>
      <c r="B22" s="89" t="s">
        <v>58</v>
      </c>
      <c r="C22" s="89" t="s">
        <v>16</v>
      </c>
    </row>
    <row r="23" spans="1:6" x14ac:dyDescent="0.35">
      <c r="A23" s="92">
        <v>21</v>
      </c>
      <c r="B23" s="85" t="s">
        <v>50</v>
      </c>
      <c r="C23" s="85" t="s">
        <v>13</v>
      </c>
      <c r="D23" s="27"/>
    </row>
    <row r="24" spans="1:6" x14ac:dyDescent="0.35">
      <c r="A24" s="92">
        <v>22</v>
      </c>
      <c r="B24" s="88" t="s">
        <v>137</v>
      </c>
      <c r="C24" s="88" t="s">
        <v>20</v>
      </c>
      <c r="D24" s="28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24"/>
      <c r="E28" s="108"/>
      <c r="F28" s="82"/>
    </row>
    <row r="29" spans="1:6" x14ac:dyDescent="0.35">
      <c r="A29" s="92">
        <v>2</v>
      </c>
      <c r="B29" s="82" t="s">
        <v>52</v>
      </c>
      <c r="C29" s="82" t="s">
        <v>21</v>
      </c>
      <c r="D29" s="108"/>
      <c r="E29" s="108"/>
      <c r="F29" s="82"/>
    </row>
    <row r="30" spans="1:6" x14ac:dyDescent="0.35">
      <c r="A30" s="92">
        <v>3</v>
      </c>
      <c r="B30" s="116" t="s">
        <v>63</v>
      </c>
      <c r="C30" s="86" t="s">
        <v>14</v>
      </c>
      <c r="D30" s="100"/>
      <c r="E30" s="113"/>
      <c r="F30" s="86"/>
    </row>
    <row r="31" spans="1:6" x14ac:dyDescent="0.35">
      <c r="A31" s="92">
        <v>4</v>
      </c>
      <c r="B31" s="104" t="s">
        <v>64</v>
      </c>
      <c r="C31" s="105" t="s">
        <v>19</v>
      </c>
      <c r="D31" s="117"/>
      <c r="E31" s="117"/>
      <c r="F31" s="104"/>
    </row>
    <row r="32" spans="1:6" x14ac:dyDescent="0.35">
      <c r="A32" s="92">
        <v>5</v>
      </c>
      <c r="B32" s="86" t="s">
        <v>59</v>
      </c>
      <c r="C32" s="86" t="s">
        <v>14</v>
      </c>
      <c r="D32" s="113"/>
      <c r="E32" s="113"/>
      <c r="F32" s="86"/>
    </row>
    <row r="33" spans="1:6" x14ac:dyDescent="0.35">
      <c r="A33" s="92">
        <v>6</v>
      </c>
      <c r="B33" s="83" t="s">
        <v>49</v>
      </c>
      <c r="C33" s="83" t="s">
        <v>11</v>
      </c>
      <c r="D33" s="106"/>
      <c r="E33" s="106"/>
      <c r="F33" s="83"/>
    </row>
    <row r="34" spans="1:6" x14ac:dyDescent="0.35">
      <c r="A34" s="92">
        <v>7</v>
      </c>
      <c r="B34" s="87" t="s">
        <v>54</v>
      </c>
      <c r="C34" s="87" t="s">
        <v>15</v>
      </c>
      <c r="D34" s="97"/>
      <c r="E34" s="110"/>
      <c r="F34" s="87"/>
    </row>
    <row r="35" spans="1:6" x14ac:dyDescent="0.35">
      <c r="A35" s="92">
        <v>8</v>
      </c>
      <c r="B35" s="90" t="s">
        <v>133</v>
      </c>
      <c r="C35" s="90" t="s">
        <v>17</v>
      </c>
      <c r="D35" s="103"/>
      <c r="E35" s="115"/>
      <c r="F35" s="90"/>
    </row>
    <row r="36" spans="1:6" x14ac:dyDescent="0.35">
      <c r="A36" s="92">
        <v>9</v>
      </c>
      <c r="B36" s="104" t="s">
        <v>135</v>
      </c>
      <c r="C36" s="105" t="s">
        <v>19</v>
      </c>
      <c r="D36" s="118"/>
      <c r="E36" s="117"/>
      <c r="F36" s="104"/>
    </row>
    <row r="37" spans="1:6" x14ac:dyDescent="0.35">
      <c r="A37" s="92">
        <v>10</v>
      </c>
      <c r="B37" s="87" t="s">
        <v>136</v>
      </c>
      <c r="C37" s="87" t="s">
        <v>15</v>
      </c>
      <c r="D37" s="97"/>
      <c r="E37" s="110"/>
      <c r="F37" s="87"/>
    </row>
    <row r="38" spans="1:6" x14ac:dyDescent="0.35">
      <c r="A38" s="92">
        <v>11</v>
      </c>
      <c r="B38" s="91" t="s">
        <v>134</v>
      </c>
      <c r="C38" s="91" t="s">
        <v>18</v>
      </c>
      <c r="D38" s="98"/>
      <c r="E38" s="111"/>
      <c r="F38" s="91"/>
    </row>
    <row r="39" spans="1:6" x14ac:dyDescent="0.35">
      <c r="A39" s="92">
        <v>12</v>
      </c>
      <c r="B39" s="83" t="s">
        <v>53</v>
      </c>
      <c r="C39" s="83" t="s">
        <v>11</v>
      </c>
      <c r="D39" s="93"/>
      <c r="E39" s="106"/>
      <c r="F39" s="83"/>
    </row>
    <row r="40" spans="1:6" x14ac:dyDescent="0.35">
      <c r="A40" s="92">
        <v>13</v>
      </c>
      <c r="B40" s="89" t="s">
        <v>60</v>
      </c>
      <c r="C40" s="89" t="s">
        <v>16</v>
      </c>
      <c r="D40" s="99"/>
      <c r="E40" s="112"/>
      <c r="F40" s="89"/>
    </row>
    <row r="41" spans="1:6" x14ac:dyDescent="0.35">
      <c r="A41" s="92">
        <v>14</v>
      </c>
      <c r="B41" s="91" t="s">
        <v>57</v>
      </c>
      <c r="C41" s="91" t="s">
        <v>18</v>
      </c>
      <c r="D41" s="98"/>
      <c r="E41" s="111"/>
      <c r="F41" s="91"/>
    </row>
    <row r="42" spans="1:6" x14ac:dyDescent="0.35">
      <c r="A42" s="92">
        <v>15</v>
      </c>
      <c r="B42" s="89" t="s">
        <v>58</v>
      </c>
      <c r="C42" s="89" t="s">
        <v>16</v>
      </c>
      <c r="D42" s="99"/>
      <c r="E42" s="112"/>
      <c r="F42" s="89"/>
    </row>
    <row r="43" spans="1:6" x14ac:dyDescent="0.35">
      <c r="A43" s="92">
        <v>16</v>
      </c>
      <c r="B43" s="90" t="s">
        <v>73</v>
      </c>
      <c r="C43" s="90" t="s">
        <v>17</v>
      </c>
      <c r="D43" s="90"/>
      <c r="E43" s="115"/>
      <c r="F43" s="90"/>
    </row>
    <row r="44" spans="1:6" x14ac:dyDescent="0.35">
      <c r="A44" s="92">
        <v>17</v>
      </c>
      <c r="B44" s="88" t="s">
        <v>62</v>
      </c>
      <c r="C44" s="88" t="s">
        <v>20</v>
      </c>
      <c r="D44" s="102"/>
      <c r="E44" s="114"/>
      <c r="F44" s="88"/>
    </row>
    <row r="45" spans="1:6" x14ac:dyDescent="0.35">
      <c r="A45" s="92">
        <v>18</v>
      </c>
      <c r="B45" s="88" t="s">
        <v>137</v>
      </c>
      <c r="C45" s="88" t="s">
        <v>20</v>
      </c>
      <c r="D45" s="102"/>
      <c r="E45" s="114"/>
      <c r="F45" s="88"/>
    </row>
    <row r="46" spans="1:6" x14ac:dyDescent="0.35">
      <c r="A46" s="92">
        <v>19</v>
      </c>
      <c r="B46" s="84" t="s">
        <v>55</v>
      </c>
      <c r="C46" s="84" t="s">
        <v>12</v>
      </c>
      <c r="D46" s="96"/>
      <c r="E46" s="109"/>
      <c r="F46" s="84"/>
    </row>
    <row r="47" spans="1:6" x14ac:dyDescent="0.35">
      <c r="A47" s="92">
        <v>20</v>
      </c>
      <c r="B47" s="85" t="s">
        <v>56</v>
      </c>
      <c r="C47" s="85" t="s">
        <v>13</v>
      </c>
      <c r="D47" s="107"/>
      <c r="E47" s="107"/>
      <c r="F47" s="85"/>
    </row>
    <row r="48" spans="1:6" x14ac:dyDescent="0.35">
      <c r="A48" s="92">
        <v>21</v>
      </c>
      <c r="B48" s="85" t="s">
        <v>50</v>
      </c>
      <c r="C48" s="85" t="s">
        <v>13</v>
      </c>
      <c r="D48" s="94"/>
      <c r="E48" s="107"/>
      <c r="F48" s="85"/>
    </row>
    <row r="49" spans="1:6" x14ac:dyDescent="0.35">
      <c r="A49" s="92">
        <v>22</v>
      </c>
      <c r="B49" s="84" t="s">
        <v>65</v>
      </c>
      <c r="C49" s="84" t="s">
        <v>12</v>
      </c>
      <c r="D49" s="96"/>
      <c r="E49" s="109"/>
      <c r="F49" s="84"/>
    </row>
    <row r="51" spans="1:6" x14ac:dyDescent="0.35">
      <c r="A51" s="119" t="s">
        <v>510</v>
      </c>
      <c r="B51" s="76"/>
      <c r="C51" s="76"/>
    </row>
    <row r="52" spans="1:6" x14ac:dyDescent="0.35">
      <c r="A52" s="92" t="s">
        <v>115</v>
      </c>
      <c r="B52" s="92" t="s">
        <v>0</v>
      </c>
      <c r="C52" s="92" t="s">
        <v>23</v>
      </c>
    </row>
    <row r="53" spans="1:6" x14ac:dyDescent="0.35">
      <c r="A53" s="92">
        <v>1</v>
      </c>
      <c r="B53" s="82" t="s">
        <v>21</v>
      </c>
      <c r="C53" s="82">
        <f>SUMIF($C$28:$C$48,B53,$F$28:$F$48)</f>
        <v>0</v>
      </c>
    </row>
    <row r="54" spans="1:6" x14ac:dyDescent="0.35">
      <c r="A54" s="92">
        <v>2</v>
      </c>
      <c r="B54" s="86" t="s">
        <v>14</v>
      </c>
      <c r="C54" s="86">
        <f>SUMIF($C$28:$C$48,B54,$F$28:$F$48)</f>
        <v>0</v>
      </c>
    </row>
    <row r="55" spans="1:6" x14ac:dyDescent="0.35">
      <c r="A55" s="92">
        <v>3</v>
      </c>
      <c r="B55" s="105" t="s">
        <v>19</v>
      </c>
      <c r="C55" s="105">
        <f>SUMIF($C$28:$C$48,B55,$F$28:$F$48)</f>
        <v>0</v>
      </c>
    </row>
    <row r="56" spans="1:6" x14ac:dyDescent="0.35">
      <c r="A56" s="92">
        <v>4</v>
      </c>
      <c r="B56" s="83" t="s">
        <v>11</v>
      </c>
      <c r="C56" s="83">
        <f>SUMIF($C$28:$C$48,B56,$F$28:$F$48)</f>
        <v>0</v>
      </c>
    </row>
    <row r="57" spans="1:6" x14ac:dyDescent="0.35">
      <c r="A57" s="92">
        <v>5</v>
      </c>
      <c r="B57" s="87" t="s">
        <v>15</v>
      </c>
      <c r="C57" s="87">
        <f>SUMIF($C$28:$C$48,B57,$F$28:$F$48)</f>
        <v>0</v>
      </c>
    </row>
    <row r="58" spans="1:6" x14ac:dyDescent="0.35">
      <c r="A58" s="92">
        <v>6</v>
      </c>
      <c r="B58" s="90" t="s">
        <v>17</v>
      </c>
      <c r="C58" s="90">
        <f>SUMIF($C$28:$C$48,B58,$F$28:$F$48)</f>
        <v>0</v>
      </c>
    </row>
    <row r="59" spans="1:6" x14ac:dyDescent="0.35">
      <c r="A59" s="92">
        <v>7</v>
      </c>
      <c r="B59" s="89" t="s">
        <v>16</v>
      </c>
      <c r="C59" s="89">
        <f>SUMIF($C$28:$C$48,B59,$F$28:$F$48)</f>
        <v>0</v>
      </c>
    </row>
    <row r="60" spans="1:6" x14ac:dyDescent="0.35">
      <c r="A60" s="92">
        <v>8</v>
      </c>
      <c r="B60" s="84" t="s">
        <v>12</v>
      </c>
      <c r="C60" s="84">
        <f>SUMIF($C$28:$C$48,B60,$F$28:$F$48)</f>
        <v>0</v>
      </c>
    </row>
    <row r="61" spans="1:6" x14ac:dyDescent="0.35">
      <c r="A61" s="92">
        <v>9</v>
      </c>
      <c r="B61" s="88" t="s">
        <v>20</v>
      </c>
      <c r="C61" s="88">
        <f>SUMIF($C$28:$C$48,B61,$F$28:$F$48)</f>
        <v>0</v>
      </c>
    </row>
    <row r="62" spans="1:6" x14ac:dyDescent="0.35">
      <c r="A62" s="92">
        <v>10</v>
      </c>
      <c r="B62" s="85" t="s">
        <v>13</v>
      </c>
      <c r="C62" s="85">
        <f>SUMIF($C$28:$C$48,B62,$F$28:$F$48)</f>
        <v>0</v>
      </c>
    </row>
    <row r="63" spans="1:6" x14ac:dyDescent="0.35">
      <c r="A63" s="92">
        <v>11</v>
      </c>
      <c r="B63" s="91" t="s">
        <v>18</v>
      </c>
      <c r="C63" s="91">
        <f>SUMIF($C$28:$C$48,B63,$F$28:$F$48)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workbookViewId="0">
      <selection activeCell="I6" sqref="I6"/>
    </sheetView>
  </sheetViews>
  <sheetFormatPr defaultRowHeight="14.5" x14ac:dyDescent="0.35"/>
  <sheetData>
    <row r="1" spans="1:2" x14ac:dyDescent="0.35">
      <c r="A1" t="s">
        <v>511</v>
      </c>
      <c r="B1" t="s">
        <v>512</v>
      </c>
    </row>
    <row r="2" spans="1:2" x14ac:dyDescent="0.35">
      <c r="A2" t="s">
        <v>513</v>
      </c>
      <c r="B2" t="s">
        <v>25</v>
      </c>
    </row>
    <row r="3" spans="1:2" x14ac:dyDescent="0.35">
      <c r="A3" t="s">
        <v>514</v>
      </c>
      <c r="B3" t="s">
        <v>515</v>
      </c>
    </row>
    <row r="4" spans="1:2" x14ac:dyDescent="0.35">
      <c r="A4" t="s">
        <v>516</v>
      </c>
      <c r="B4" t="s">
        <v>26</v>
      </c>
    </row>
    <row r="5" spans="1:2" x14ac:dyDescent="0.35">
      <c r="A5" t="s">
        <v>535</v>
      </c>
      <c r="B5" t="s">
        <v>43</v>
      </c>
    </row>
    <row r="6" spans="1:2" x14ac:dyDescent="0.35">
      <c r="A6" t="s">
        <v>517</v>
      </c>
      <c r="B6" t="s">
        <v>28</v>
      </c>
    </row>
    <row r="7" spans="1:2" x14ac:dyDescent="0.35">
      <c r="A7" t="s">
        <v>536</v>
      </c>
      <c r="B7" t="s">
        <v>44</v>
      </c>
    </row>
    <row r="8" spans="1:2" x14ac:dyDescent="0.35">
      <c r="A8" t="s">
        <v>521</v>
      </c>
      <c r="B8" t="s">
        <v>31</v>
      </c>
    </row>
    <row r="9" spans="1:2" x14ac:dyDescent="0.35">
      <c r="A9" s="35" t="s">
        <v>541</v>
      </c>
      <c r="B9" s="35" t="s">
        <v>542</v>
      </c>
    </row>
    <row r="10" spans="1:2" x14ac:dyDescent="0.35">
      <c r="A10" t="s">
        <v>519</v>
      </c>
      <c r="B10" t="s">
        <v>520</v>
      </c>
    </row>
    <row r="11" spans="1:2" x14ac:dyDescent="0.35">
      <c r="A11" t="s">
        <v>522</v>
      </c>
      <c r="B11" t="s">
        <v>32</v>
      </c>
    </row>
    <row r="12" spans="1:2" x14ac:dyDescent="0.35">
      <c r="A12" t="s">
        <v>523</v>
      </c>
      <c r="B12" t="s">
        <v>33</v>
      </c>
    </row>
    <row r="13" spans="1:2" x14ac:dyDescent="0.35">
      <c r="A13" t="s">
        <v>537</v>
      </c>
      <c r="B13" t="s">
        <v>45</v>
      </c>
    </row>
    <row r="14" spans="1:2" x14ac:dyDescent="0.35">
      <c r="A14" t="s">
        <v>525</v>
      </c>
      <c r="B14" t="s">
        <v>35</v>
      </c>
    </row>
    <row r="15" spans="1:2" x14ac:dyDescent="0.35">
      <c r="A15" t="s">
        <v>526</v>
      </c>
      <c r="B15" t="s">
        <v>36</v>
      </c>
    </row>
    <row r="16" spans="1:2" x14ac:dyDescent="0.35">
      <c r="A16" t="s">
        <v>528</v>
      </c>
      <c r="B16" t="s">
        <v>38</v>
      </c>
    </row>
    <row r="17" spans="1:2" x14ac:dyDescent="0.35">
      <c r="A17" t="s">
        <v>529</v>
      </c>
      <c r="B17" t="s">
        <v>530</v>
      </c>
    </row>
    <row r="18" spans="1:2" x14ac:dyDescent="0.35">
      <c r="A18" s="35" t="s">
        <v>543</v>
      </c>
      <c r="B18" s="35" t="s">
        <v>166</v>
      </c>
    </row>
    <row r="19" spans="1:2" x14ac:dyDescent="0.35">
      <c r="A19" t="s">
        <v>527</v>
      </c>
      <c r="B19" t="s">
        <v>37</v>
      </c>
    </row>
    <row r="20" spans="1:2" x14ac:dyDescent="0.35">
      <c r="A20" t="s">
        <v>531</v>
      </c>
      <c r="B20" t="s">
        <v>40</v>
      </c>
    </row>
    <row r="21" spans="1:2" x14ac:dyDescent="0.35">
      <c r="A21" t="s">
        <v>532</v>
      </c>
      <c r="B21" t="s">
        <v>41</v>
      </c>
    </row>
    <row r="22" spans="1:2" x14ac:dyDescent="0.35">
      <c r="A22" t="s">
        <v>518</v>
      </c>
      <c r="B22" t="s">
        <v>29</v>
      </c>
    </row>
    <row r="23" spans="1:2" x14ac:dyDescent="0.35">
      <c r="A23" t="s">
        <v>533</v>
      </c>
      <c r="B23" t="s">
        <v>534</v>
      </c>
    </row>
    <row r="24" spans="1:2" x14ac:dyDescent="0.35">
      <c r="A24" t="s">
        <v>524</v>
      </c>
      <c r="B24" t="s">
        <v>34</v>
      </c>
    </row>
    <row r="25" spans="1:2" x14ac:dyDescent="0.35">
      <c r="A25" s="35" t="s">
        <v>1103</v>
      </c>
      <c r="B25" s="35" t="s">
        <v>167</v>
      </c>
    </row>
    <row r="26" spans="1:2" x14ac:dyDescent="0.35">
      <c r="A26" t="s">
        <v>1104</v>
      </c>
      <c r="B26" t="s">
        <v>27</v>
      </c>
    </row>
    <row r="27" spans="1:2" x14ac:dyDescent="0.35">
      <c r="A27" t="s">
        <v>538</v>
      </c>
      <c r="B27" t="s">
        <v>46</v>
      </c>
    </row>
    <row r="28" spans="1:2" x14ac:dyDescent="0.35">
      <c r="A28" t="s">
        <v>539</v>
      </c>
      <c r="B28" t="s">
        <v>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2025-11-20T13:10:17Z</dcterms:modified>
</cp:coreProperties>
</file>