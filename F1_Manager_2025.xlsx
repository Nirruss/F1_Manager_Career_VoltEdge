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DB0A6E20-B170-482A-B714-28A50DB6A0E7}" xr6:coauthVersionLast="47" xr6:coauthVersionMax="47" xr10:uidLastSave="{00000000-0000-0000-0000-000000000000}"/>
  <bookViews>
    <workbookView xWindow="-110" yWindow="-110" windowWidth="29020" windowHeight="15700" tabRatio="936" activeTab="24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28" l="1"/>
  <c r="C63" i="28"/>
  <c r="C62" i="28"/>
  <c r="C60" i="28"/>
  <c r="C61" i="28"/>
  <c r="C59" i="28"/>
  <c r="C57" i="28"/>
  <c r="C58" i="28"/>
  <c r="C53" i="28"/>
  <c r="C55" i="28"/>
  <c r="C54" i="28"/>
  <c r="C53" i="14"/>
  <c r="C63" i="14"/>
  <c r="C57" i="14"/>
  <c r="C60" i="14"/>
  <c r="C61" i="14"/>
  <c r="C58" i="14"/>
  <c r="C62" i="14"/>
  <c r="C56" i="14"/>
  <c r="C59" i="14"/>
  <c r="C55" i="14"/>
  <c r="C54" i="14"/>
  <c r="C53" i="26"/>
  <c r="C63" i="26"/>
  <c r="C62" i="26"/>
  <c r="C60" i="26"/>
  <c r="C61" i="26"/>
  <c r="C59" i="26"/>
  <c r="C58" i="26"/>
  <c r="C55" i="26"/>
  <c r="C56" i="26"/>
  <c r="C54" i="26"/>
  <c r="C57" i="26"/>
  <c r="C63" i="25"/>
  <c r="C62" i="25"/>
  <c r="C61" i="25"/>
  <c r="C59" i="25"/>
  <c r="C60" i="25"/>
  <c r="C54" i="25"/>
  <c r="C58" i="25"/>
  <c r="C56" i="25"/>
  <c r="C55" i="25"/>
  <c r="C57" i="25"/>
  <c r="C53" i="25"/>
  <c r="C63" i="22"/>
  <c r="C62" i="22"/>
  <c r="C61" i="22"/>
  <c r="C59" i="22"/>
  <c r="C60" i="22"/>
  <c r="C56" i="22"/>
  <c r="C54" i="22"/>
  <c r="C57" i="22"/>
  <c r="C58" i="22"/>
  <c r="C55" i="22"/>
  <c r="C53" i="22"/>
  <c r="C57" i="37"/>
  <c r="C61" i="37"/>
  <c r="C60" i="37"/>
  <c r="C63" i="37"/>
  <c r="C58" i="37"/>
  <c r="C55" i="37"/>
  <c r="C62" i="37"/>
  <c r="C56" i="37"/>
  <c r="C59" i="37"/>
  <c r="C54" i="37"/>
  <c r="C53" i="37"/>
  <c r="C53" i="24"/>
  <c r="C60" i="24"/>
  <c r="C56" i="24"/>
  <c r="C62" i="24"/>
  <c r="C55" i="24"/>
  <c r="C57" i="24"/>
  <c r="C61" i="24"/>
  <c r="C63" i="24"/>
  <c r="C54" i="24"/>
  <c r="C59" i="24"/>
  <c r="C58" i="24"/>
  <c r="C53" i="23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9" i="5"/>
  <c r="AD5" i="5"/>
  <c r="AD10" i="5"/>
  <c r="AD8" i="5"/>
  <c r="AD3" i="5"/>
  <c r="AD6" i="5"/>
  <c r="AD12" i="5"/>
  <c r="AD11" i="5"/>
  <c r="AD7" i="5"/>
  <c r="AD4" i="5"/>
  <c r="AD2" i="5"/>
  <c r="AD20" i="4"/>
  <c r="AD17" i="4"/>
  <c r="AD18" i="4"/>
  <c r="AD12" i="4"/>
  <c r="AD11" i="4"/>
  <c r="AD16" i="4"/>
  <c r="AD23" i="4"/>
  <c r="AD13" i="4"/>
  <c r="AD3" i="4"/>
  <c r="AD22" i="4"/>
  <c r="AD15" i="4"/>
  <c r="AD7" i="4"/>
  <c r="AD4" i="4"/>
  <c r="AD21" i="4"/>
  <c r="AD8" i="4"/>
  <c r="AD9" i="4"/>
  <c r="AD5" i="4"/>
  <c r="AD14" i="4"/>
  <c r="AD6" i="4"/>
  <c r="AD2" i="4"/>
  <c r="AD10" i="4"/>
  <c r="AD19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<sst xmlns="http://schemas.openxmlformats.org/spreadsheetml/2006/main" count="4782" uniqueCount="992">
  <si>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</si>
  <si>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</si>
  <si>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</si>
  <si>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</si>
  <si>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</si>
  <si>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</si>
  <si>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</si>
  <si>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</si>
  <si>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</si>
  <si>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</si>
  <si>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</si>
  <si>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</si>
  <si>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</si>
  <si>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</si>
  <si>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</si>
  <si>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</si>
  <si>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</si>
  <si>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</si>
  <si>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</si>
  <si>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</si>
  <si>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</si>
  <si>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</si>
  <si>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</si>
  <si>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</si>
  <si>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</si>
  <si>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</si>
  <si>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</si>
  <si>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</si>
  <si>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</si>
  <si>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</si>
  <si>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</si>
  <si>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</si>
  <si>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</si>
  <si>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</si>
  <si>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</si>
  <si>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</si>
  <si>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</si>
  <si>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</si>
  <si>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</si>
  <si>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</si>
  <si>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</si>
  <si>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</si>
  <si>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</si>
  <si>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</si>
  <si>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</si>
  <si>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</si>
  <si>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</si>
  <si>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</si>
  <si>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</si>
  <si>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</si>
  <si>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</si>
  <si>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</si>
  <si>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</si>
  <si>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</si>
  <si>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</si>
  <si>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</si>
  <si>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</si>
  <si>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</si>
  <si>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</si>
  <si>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</si>
  <si>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</si>
  <si>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</si>
  <si>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</si>
  <si>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</si>
  <si>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</si>
  <si>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</si>
  <si>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</si>
  <si>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</si>
  <si>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</si>
  <si>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</si>
  <si>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</si>
  <si>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</si>
  <si>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</si>
  <si>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</si>
  <si>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</si>
  <si>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</si>
  <si>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</si>
  <si>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</si>
  <si>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</si>
  <si>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</si>
  <si>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</si>
  <si>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</si>
  <si>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</si>
  <si>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</si>
  <si>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</si>
  <si>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</si>
  <si>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</si>
  <si>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</si>
  <si>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</si>
  <si>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</si>
  <si>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</si>
  <si>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</si>
  <si>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</si>
  <si>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</si>
  <si>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</si>
  <si>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</si>
  <si>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</si>
  <si>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</si>
  <si>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</si>
  <si>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</si>
  <si>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</si>
  <si>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</si>
  <si>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</si>
  <si>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</si>
  <si>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</si>
  <si>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</si>
  <si>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</si>
  <si>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</si>
  <si>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</si>
  <si>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</si>
  <si>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</si>
  <si>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</si>
  <si>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</si>
  <si>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</si>
  <si>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</si>
  <si>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</si>
  <si>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</si>
  <si>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</si>
  <si>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</si>
  <si>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</si>
  <si>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</si>
  <si>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</si>
  <si>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</si>
  <si>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</si>
  <si>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</si>
  <si>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</si>
  <si>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</si>
  <si>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</si>
  <si>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</si>
  <si>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</si>
  <si>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</si>
  <si>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</si>
  <si>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</si>
  <si>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</si>
  <si>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</si>
  <si>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</si>
  <si>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</si>
  <si>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</si>
  <si>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</si>
  <si>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</si>
  <si>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</si>
  <si>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</si>
  <si>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</si>
  <si>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</si>
  <si>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</si>
  <si>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</si>
  <si>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</si>
  <si>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</si>
  <si>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</si>
  <si>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</si>
  <si>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</si>
  <si>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</si>
  <si>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</si>
  <si>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</si>
  <si>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</si>
  <si>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</si>
  <si>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</si>
  <si>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</si>
  <si>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</si>
  <si>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</si>
  <si>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</si>
  <si>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</si>
  <si>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</si>
  <si>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</si>
  <si>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</si>
  <si>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</si>
  <si>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</si>
  <si>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</si>
  <si>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</si>
  <si>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</si>
  <si>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</si>
  <si>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</si>
  <si>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</si>
  <si>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</si>
  <si>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</si>
  <si>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</si>
  <si>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</si>
  <si>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</si>
  <si>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</si>
  <si>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</si>
  <si>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</si>
  <si>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</si>
  <si>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</si>
  <si>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</si>
  <si>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</si>
  <si>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</si>
  <si>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</si>
  <si>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</si>
  <si>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</si>
  <si>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</si>
  <si>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</si>
  <si>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</si>
  <si>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</si>
  <si>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</si>
  <si>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</si>
  <si>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</si>
  <si>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</si>
  <si>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</si>
  <si>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</si>
  <si>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</si>
  <si>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</si>
  <si>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</si>
  <si>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</si>
  <si>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</si>
  <si>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</si>
  <si>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</si>
  <si>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</si>
  <si>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</si>
  <si>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</si>
  <si>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</si>
  <si>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</si>
  <si>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</si>
  <si>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</si>
  <si>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</si>
  <si>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</si>
  <si>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</si>
  <si>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</si>
  <si>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</si>
  <si>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</si>
  <si>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</si>
  <si>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</si>
  <si>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</si>
  <si>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</si>
  <si>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</si>
  <si>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</si>
  <si>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</si>
  <si>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</si>
  <si>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</si>
  <si>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</si>
  <si>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</si>
  <si>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</si>
  <si>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</si>
  <si>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</si>
  <si>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</si>
  <si>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</si>
  <si>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</si>
  <si>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</si>
  <si>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</si>
  <si>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</si>
  <si>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</si>
  <si>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</si>
  <si>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</si>
  <si>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</si>
  <si>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</si>
  <si>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</si>
  <si>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</si>
  <si>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</si>
  <si>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</si>
  <si>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</si>
  <si>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</si>
  <si>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</si>
  <si>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</si>
  <si>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</si>
  <si>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</si>
  <si>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</si>
  <si>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</si>
  <si>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</si>
  <si>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</si>
  <si>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</si>
  <si>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</si>
  <si>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</si>
  <si>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</si>
  <si>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</si>
  <si>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</si>
  <si>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</si>
  <si>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</si>
  <si>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</si>
  <si>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</si>
  <si>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</si>
  <si>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</si>
  <si>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</si>
  <si>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</si>
  <si>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</si>
  <si>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</si>
  <si>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</si>
  <si>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</si>
  <si>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</si>
  <si>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</si>
  <si>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</si>
  <si>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</si>
  <si>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</si>
  <si>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</si>
  <si>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</si>
  <si>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</si>
  <si>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</si>
  <si>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</si>
  <si>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</si>
  <si>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</si>
  <si>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</si>
  <si>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</si>
  <si>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</si>
  <si>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</si>
  <si>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</si>
  <si>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</si>
  <si>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</si>
  <si>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</si>
  <si>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</si>
  <si>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</si>
  <si>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</si>
  <si>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</si>
  <si>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</si>
  <si>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</si>
  <si>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</si>
  <si>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</si>
  <si>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</si>
  <si>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</si>
  <si>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</si>
  <si>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</si>
  <si>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</si>
  <si>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</si>
  <si>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</si>
  <si>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</si>
  <si>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</si>
  <si>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</si>
  <si>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</si>
  <si>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</si>
  <si>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</si>
  <si>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</si>
  <si>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</si>
  <si>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</si>
  <si>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</si>
  <si>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</si>
  <si>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</si>
  <si>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</si>
  <si>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</si>
  <si>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</si>
  <si>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</si>
  <si>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</si>
  <si>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</si>
  <si>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</si>
  <si>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</si>
  <si>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</si>
  <si>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</si>
  <si>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</si>
  <si>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</si>
  <si>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</si>
  <si>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</si>
  <si>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</si>
  <si>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</si>
  <si>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</si>
  <si>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</si>
  <si>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</si>
  <si>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</si>
  <si>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</si>
  <si>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</si>
  <si>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</si>
  <si>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</si>
  <si>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</si>
  <si>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</si>
  <si>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</si>
  <si>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</si>
  <si>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</si>
  <si>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</si>
  <si>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</si>
  <si>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</si>
  <si>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</si>
  <si>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</si>
  <si>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</si>
  <si>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</si>
  <si>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</si>
  <si>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</si>
  <si>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</si>
  <si>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</si>
  <si>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</si>
  <si>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</si>
  <si>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</si>
  <si>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</si>
  <si>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</si>
  <si>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</si>
  <si>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</si>
  <si>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</si>
  <si>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</si>
  <si>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</si>
  <si>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</si>
  <si>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</si>
  <si>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</si>
  <si>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</si>
  <si>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</si>
  <si>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</si>
  <si>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</si>
  <si>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</si>
  <si>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</si>
  <si>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</si>
  <si>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</si>
  <si>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</si>
  <si>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</si>
  <si>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</si>
  <si>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</si>
  <si>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</si>
  <si>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</si>
  <si>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</si>
  <si>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</si>
  <si>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</si>
  <si>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</si>
  <si>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</si>
  <si>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</si>
  <si>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</si>
  <si>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</si>
  <si>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</si>
  <si>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</si>
  <si>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</si>
  <si>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</si>
  <si>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</si>
  <si>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</si>
  <si>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</si>
  <si>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</si>
  <si>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</si>
  <si>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</si>
  <si>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</si>
  <si>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</si>
  <si>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</si>
  <si>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</si>
  <si>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</si>
  <si>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</si>
  <si>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</si>
  <si>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</si>
  <si>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</si>
  <si>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</si>
  <si>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</si>
  <si>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</si>
  <si>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</si>
  <si>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</si>
  <si>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</si>
  <si>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</si>
  <si>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</si>
  <si>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</si>
  <si>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</si>
  <si>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</si>
  <si>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</si>
  <si>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</si>
  <si>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</si>
  <si>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</si>
  <si>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</si>
  <si>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</si>
  <si>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</si>
  <si>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</si>
  <si>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</si>
  <si>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</si>
  <si>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</si>
  <si>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</si>
  <si>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</si>
  <si>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</si>
  <si>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</si>
  <si>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</si>
  <si>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</si>
  <si>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</si>
  <si>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</si>
  <si>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</si>
  <si>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</si>
  <si>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</si>
  <si>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</si>
  <si>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</si>
  <si>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</si>
  <si>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</si>
  <si>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</si>
  <si>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</si>
  <si>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</si>
  <si>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</si>
  <si>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</si>
  <si>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</si>
  <si>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</si>
  <si>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</si>
  <si>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</si>
  <si>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</si>
  <si>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</si>
  <si>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</si>
  <si>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</si>
  <si>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</si>
  <si>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</si>
  <si>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</si>
  <si>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</si>
  <si>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</si>
  <si>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</si>
  <si>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</si>
  <si>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</si>
  <si>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</si>
  <si>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</si>
  <si>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</si>
  <si>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</si>
  <si>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</si>
  <si>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</si>
  <si>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</si>
  <si>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</si>
  <si>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</si>
  <si>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</si>
  <si>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</si>
  <si>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</si>
  <si>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</si>
  <si>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</si>
  <si>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</si>
  <si>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</si>
  <si>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</si>
  <si>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</si>
  <si>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</si>
  <si>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</si>
  <si>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</si>
  <si>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</si>
  <si>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</si>
  <si>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</si>
  <si>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</si>
  <si>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</si>
  <si>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</si>
  <si>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</si>
  <si>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</si>
  <si>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</si>
  <si>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</si>
  <si>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</si>
  <si>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</si>
  <si>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</si>
  <si>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</si>
  <si>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</si>
  <si>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</si>
  <si>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</si>
  <si>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</si>
  <si>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</si>
  <si>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</si>
  <si>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</si>
  <si>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</si>
  <si>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</si>
  <si>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</si>
  <si>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</si>
  <si>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</si>
  <si>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</si>
  <si>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</si>
  <si>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</si>
  <si>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</si>
  <si>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</si>
  <si>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</si>
  <si>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</si>
  <si>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</si>
  <si>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</si>
  <si>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</si>
  <si>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</si>
  <si>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</si>
  <si>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</si>
  <si>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</si>
  <si>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</si>
  <si>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</si>
  <si>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</si>
  <si>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</si>
  <si>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</si>
  <si>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</si>
  <si>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</si>
  <si>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</si>
  <si>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</si>
  <si>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</si>
  <si>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</si>
  <si>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</si>
  <si>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</si>
  <si>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</si>
  <si>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</si>
  <si>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</si>
  <si>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</si>
  <si>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</si>
  <si>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</si>
  <si>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</si>
  <si>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</si>
  <si>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</si>
  <si>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</si>
  <si>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</si>
  <si>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</si>
  <si>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</si>
  <si>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</si>
  <si>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</si>
  <si>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</si>
  <si>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</si>
  <si>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</si>
  <si>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</si>
  <si>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</si>
  <si>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</si>
  <si>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</si>
  <si>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</si>
  <si>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</si>
  <si>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</si>
  <si>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</si>
  <si>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</si>
  <si>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</si>
  <si>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</si>
  <si>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</si>
  <si>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</si>
  <si>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</si>
  <si>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</si>
  <si>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</si>
  <si>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</si>
  <si>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</si>
  <si>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</si>
  <si>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</si>
  <si>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</si>
  <si>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</si>
  <si>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</si>
  <si>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</si>
  <si>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</si>
  <si>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</si>
  <si>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</si>
  <si>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</si>
  <si>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</si>
  <si>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</si>
  <si>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</si>
  <si>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</si>
  <si>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</si>
  <si>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</si>
  <si>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</si>
  <si>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</si>
  <si>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</si>
  <si>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</si>
  <si>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</si>
  <si>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</si>
  <si>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</si>
  <si>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</si>
  <si>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</si>
  <si>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</si>
  <si>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</si>
  <si>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</si>
  <si>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</si>
  <si>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</si>
  <si>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</si>
  <si>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</si>
  <si>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</si>
  <si>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</si>
  <si>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</si>
  <si>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</si>
  <si>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</si>
  <si>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</si>
  <si>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</si>
  <si>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</si>
  <si>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</si>
  <si>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</si>
  <si>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</si>
  <si>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</si>
  <si>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</si>
  <si>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</si>
  <si>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</si>
  <si>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</si>
  <si>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</si>
  <si>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</si>
  <si>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</si>
  <si>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</si>
  <si>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</si>
  <si>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</si>
  <si>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</si>
  <si>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</si>
  <si>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</si>
  <si>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</si>
  <si>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</si>
  <si>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</si>
  <si>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</si>
  <si>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</si>
  <si>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</si>
  <si>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</si>
  <si>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</si>
  <si>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</si>
  <si>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</si>
  <si>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</si>
  <si>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</si>
  <si>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</si>
  <si>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</si>
  <si>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</si>
  <si>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</si>
  <si>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</si>
  <si>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</si>
  <si>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</si>
  <si>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</si>
  <si>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</si>
  <si>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</si>
  <si>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</si>
  <si>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</si>
  <si>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</si>
  <si>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</si>
  <si>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</si>
  <si>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</si>
  <si>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</si>
  <si>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</si>
  <si>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</si>
  <si>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</si>
  <si>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</si>
  <si>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</si>
  <si>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</si>
  <si>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</si>
  <si>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</si>
  <si>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</si>
  <si>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</si>
  <si>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</si>
  <si>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</si>
  <si>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</si>
  <si>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</si>
  <si>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</si>
  <si>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</si>
  <si>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</si>
  <si>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</si>
  <si>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</si>
  <si>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</si>
  <si>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</si>
  <si>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</si>
  <si>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</si>
  <si>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</si>
  <si>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</si>
  <si>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</si>
  <si>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</si>
  <si>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</si>
  <si>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</si>
  <si>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</si>
  <si>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</si>
  <si>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</si>
  <si>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</si>
  <si>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</si>
  <si>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</si>
  <si>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</si>
  <si>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</si>
  <si>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</si>
  <si>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</si>
  <si>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</si>
  <si>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</si>
  <si>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</si>
  <si>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</si>
  <si>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</si>
  <si>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</si>
  <si>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</si>
  <si>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</si>
  <si>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</si>
  <si>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</si>
  <si>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</si>
  <si>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</si>
  <si>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</si>
  <si>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</si>
  <si>
    <t>1:20.665</t>
  </si>
  <si>
    <t>1:21.622</t>
  </si>
  <si>
    <t>1:22.001</t>
  </si>
  <si>
    <t>1:22.519</t>
  </si>
  <si>
    <t>1:22.150</t>
  </si>
  <si>
    <t>1:23.173</t>
  </si>
  <si>
    <t>1:22.958</t>
  </si>
  <si>
    <t>1:21.981</t>
  </si>
  <si>
    <t>1:22.208</t>
  </si>
  <si>
    <t>1:23.120</t>
  </si>
  <si>
    <t>1:22.808</t>
  </si>
  <si>
    <t>1:23.191</t>
  </si>
  <si>
    <t>1:21.943</t>
  </si>
  <si>
    <t>1:23.529</t>
  </si>
  <si>
    <t>1:23.217</t>
  </si>
  <si>
    <t>1:24.160</t>
  </si>
  <si>
    <t>1:22.838</t>
  </si>
  <si>
    <t>1:24.572</t>
  </si>
  <si>
    <t>1:25.115</t>
  </si>
  <si>
    <t>1:25.209</t>
  </si>
  <si>
    <t>1:25.608</t>
  </si>
  <si>
    <t>1:26.132</t>
  </si>
  <si>
    <t>01:23.52</t>
  </si>
  <si>
    <t>+9.669</t>
  </si>
  <si>
    <t>+4.142</t>
  </si>
  <si>
    <t>+0.181</t>
  </si>
  <si>
    <t>+4.335</t>
  </si>
  <si>
    <t>+5.279</t>
  </si>
  <si>
    <t>+0.168</t>
  </si>
  <si>
    <t>+0.494</t>
  </si>
  <si>
    <t>+1.102</t>
  </si>
  <si>
    <t>+0.141</t>
  </si>
  <si>
    <t>+0.656</t>
  </si>
  <si>
    <t>+1.281</t>
  </si>
  <si>
    <t>+0.361</t>
  </si>
  <si>
    <t>+1.756</t>
  </si>
  <si>
    <t>+0.671</t>
  </si>
  <si>
    <t>+3.442</t>
  </si>
  <si>
    <t>+0.727</t>
  </si>
  <si>
    <t>1:48.255</t>
  </si>
  <si>
    <t>1:48.578</t>
  </si>
  <si>
    <t>1:48.734</t>
  </si>
  <si>
    <t>1:48.920</t>
  </si>
  <si>
    <t>1:48.884</t>
  </si>
  <si>
    <t>1:49.026</t>
  </si>
  <si>
    <t>1:49.173</t>
  </si>
  <si>
    <t>1:49.125</t>
  </si>
  <si>
    <t>1:49.392</t>
  </si>
  <si>
    <t>1:49.308</t>
  </si>
  <si>
    <t>1:49.263</t>
  </si>
  <si>
    <t>1:49.404</t>
  </si>
  <si>
    <t>1:49.323</t>
  </si>
  <si>
    <t>1:49.598</t>
  </si>
  <si>
    <t>1:49.748</t>
  </si>
  <si>
    <t>1:49.910</t>
  </si>
  <si>
    <t>1:50.013</t>
  </si>
  <si>
    <t>1:50.106</t>
  </si>
  <si>
    <t>1:50.049</t>
  </si>
  <si>
    <t>1:50.268</t>
  </si>
  <si>
    <t>1:50.079</t>
  </si>
  <si>
    <t>1:49.781</t>
  </si>
  <si>
    <t>00:27.20</t>
  </si>
  <si>
    <t>+5.226</t>
  </si>
  <si>
    <t>+3.393</t>
  </si>
  <si>
    <t>+1.413</t>
  </si>
  <si>
    <t>+0.463</t>
  </si>
  <si>
    <t>+3.363</t>
  </si>
  <si>
    <t>+2.079</t>
  </si>
  <si>
    <t>+1.484</t>
  </si>
  <si>
    <t>+0.066</t>
  </si>
  <si>
    <t>+0.624</t>
  </si>
  <si>
    <t>+0.275</t>
  </si>
  <si>
    <t>+0.097</t>
  </si>
  <si>
    <t>+3.034</t>
  </si>
  <si>
    <t>+1.566</t>
  </si>
  <si>
    <t>+4.591</t>
  </si>
  <si>
    <t>+0.697</t>
  </si>
  <si>
    <t>+0.430</t>
  </si>
  <si>
    <t>+0.554</t>
  </si>
  <si>
    <t>+4.378</t>
  </si>
  <si>
    <t>+1.924</t>
  </si>
  <si>
    <t>1:43.476</t>
  </si>
  <si>
    <t>1:43.589</t>
  </si>
  <si>
    <t>1:44.070</t>
  </si>
  <si>
    <t>1:43.862</t>
  </si>
  <si>
    <t>1:44.319</t>
  </si>
  <si>
    <t>1:44.594</t>
  </si>
  <si>
    <t>1:44.061</t>
  </si>
  <si>
    <t>1:44.118</t>
  </si>
  <si>
    <t>1:44.007</t>
  </si>
  <si>
    <t>1:44.295</t>
  </si>
  <si>
    <t>1:44.507</t>
  </si>
  <si>
    <t>1:44.292</t>
  </si>
  <si>
    <t>1:44.294</t>
  </si>
  <si>
    <t>1:44.609</t>
  </si>
  <si>
    <t>1:44.930</t>
  </si>
  <si>
    <t>1:44.849</t>
  </si>
  <si>
    <t>1:44.816</t>
  </si>
  <si>
    <t>1:45.015</t>
  </si>
  <si>
    <t>1:44.861</t>
  </si>
  <si>
    <t>1:44.972</t>
  </si>
  <si>
    <t>1:44.768</t>
  </si>
  <si>
    <t>01:18.30</t>
  </si>
  <si>
    <t>+3.907</t>
  </si>
  <si>
    <t>+14.000</t>
  </si>
  <si>
    <t>+4.289</t>
  </si>
  <si>
    <t>+5.746</t>
  </si>
  <si>
    <t>+1.626</t>
  </si>
  <si>
    <t>+2.165</t>
  </si>
  <si>
    <t>+2.563</t>
  </si>
  <si>
    <t>+12.376</t>
  </si>
  <si>
    <t>+7.010</t>
  </si>
  <si>
    <t>+4.307</t>
  </si>
  <si>
    <t>+2.158</t>
  </si>
  <si>
    <t>+2.263</t>
  </si>
  <si>
    <t>+1.529</t>
  </si>
  <si>
    <t>+1.659</t>
  </si>
  <si>
    <t>+1.128</t>
  </si>
  <si>
    <t>+0.997</t>
  </si>
  <si>
    <t>+0.230</t>
  </si>
  <si>
    <t>+5.387</t>
  </si>
  <si>
    <t>+5.792</t>
  </si>
  <si>
    <t>1:45.382</t>
  </si>
  <si>
    <t>1:44.839</t>
  </si>
  <si>
    <t>1:44.696</t>
  </si>
  <si>
    <t>1:43.855</t>
  </si>
  <si>
    <t>1:45.538</t>
  </si>
  <si>
    <t>1:44.704</t>
  </si>
  <si>
    <t>1:45.531</t>
  </si>
  <si>
    <t>1:45.013</t>
  </si>
  <si>
    <t>1:46.358</t>
  </si>
  <si>
    <t>1:46.095</t>
  </si>
  <si>
    <t>1:46.472</t>
  </si>
  <si>
    <t>1:46.250</t>
  </si>
  <si>
    <t>1:45.905</t>
  </si>
  <si>
    <t>1:45.758</t>
  </si>
  <si>
    <t>1:46.859</t>
  </si>
  <si>
    <t>1:46.419</t>
  </si>
  <si>
    <t>1:45.640</t>
  </si>
  <si>
    <t>1:46.522</t>
  </si>
  <si>
    <t>1:45.663</t>
  </si>
  <si>
    <t>1:49.536</t>
  </si>
  <si>
    <t>1:49.636</t>
  </si>
  <si>
    <t>1:51.262</t>
  </si>
  <si>
    <t>01:35.45</t>
  </si>
  <si>
    <t>+6.261</t>
  </si>
  <si>
    <t>+0.027</t>
  </si>
  <si>
    <t>+8.014</t>
  </si>
  <si>
    <t>+4.131</t>
  </si>
  <si>
    <t>+0.120</t>
  </si>
  <si>
    <t>+5.221</t>
  </si>
  <si>
    <t>+3.632</t>
  </si>
  <si>
    <t>+2.975</t>
  </si>
  <si>
    <t>+3.094</t>
  </si>
  <si>
    <t>+1.325</t>
  </si>
  <si>
    <t>+8.000</t>
  </si>
  <si>
    <t>+7.938</t>
  </si>
  <si>
    <t>+0.127</t>
  </si>
  <si>
    <t>+2.713</t>
  </si>
  <si>
    <t>+0.045</t>
  </si>
  <si>
    <t>+8.425</t>
  </si>
  <si>
    <t>+28.163</t>
  </si>
  <si>
    <t>01:37:02</t>
  </si>
  <si>
    <t>+12.331</t>
  </si>
  <si>
    <t>+3.278</t>
  </si>
  <si>
    <t>+21.813</t>
  </si>
  <si>
    <t>+9.912</t>
  </si>
  <si>
    <t>+10.219</t>
  </si>
  <si>
    <t>+0.744</t>
  </si>
  <si>
    <t>+0.517</t>
  </si>
  <si>
    <t>1:29.657</t>
  </si>
  <si>
    <t>1:30.270</t>
  </si>
  <si>
    <t>1:29.948</t>
  </si>
  <si>
    <t>1:30.306</t>
  </si>
  <si>
    <t>1:30.866</t>
  </si>
  <si>
    <t>1:30.704</t>
  </si>
  <si>
    <t>1:30.012</t>
  </si>
  <si>
    <t>1:30.935</t>
  </si>
  <si>
    <t>1:31.562</t>
  </si>
  <si>
    <t>1:31.157</t>
  </si>
  <si>
    <t>1:31.101</t>
  </si>
  <si>
    <t>1:30.920</t>
  </si>
  <si>
    <t>1:30.453</t>
  </si>
  <si>
    <t>1:31.787</t>
  </si>
  <si>
    <t>1:31.488</t>
  </si>
  <si>
    <t>1:31.218</t>
  </si>
  <si>
    <t>1:31.182</t>
  </si>
  <si>
    <t>1:30.806</t>
  </si>
  <si>
    <t>1:31.844</t>
  </si>
  <si>
    <t>1:31.023</t>
  </si>
  <si>
    <t>1:30.971</t>
  </si>
  <si>
    <t>1:31.793</t>
  </si>
  <si>
    <t>1:36.130</t>
  </si>
  <si>
    <t>1:35.880</t>
  </si>
  <si>
    <t>1:36.195</t>
  </si>
  <si>
    <t>1:37.138</t>
  </si>
  <si>
    <t>1:37.173</t>
  </si>
  <si>
    <t>1:37.479</t>
  </si>
  <si>
    <t>1:37.670</t>
  </si>
  <si>
    <t>1:37.681</t>
  </si>
  <si>
    <t>1:38.412</t>
  </si>
  <si>
    <t>1:37.347</t>
  </si>
  <si>
    <t>1:38.088</t>
  </si>
  <si>
    <t>1:38.159</t>
  </si>
  <si>
    <t>1:38.951</t>
  </si>
  <si>
    <t>1:39.092</t>
  </si>
  <si>
    <t>1:39.398</t>
  </si>
  <si>
    <t>1:38.243</t>
  </si>
  <si>
    <t>1:37.914</t>
  </si>
  <si>
    <t>1:39.655</t>
  </si>
  <si>
    <t>1:39.147</t>
  </si>
  <si>
    <t>1:40.371</t>
  </si>
  <si>
    <t>1:40.360</t>
  </si>
  <si>
    <t>1:45.446</t>
  </si>
  <si>
    <t>01:38:40</t>
  </si>
  <si>
    <t>+4.285</t>
  </si>
  <si>
    <t>+5.918</t>
  </si>
  <si>
    <t>+2.950</t>
  </si>
  <si>
    <t>+2.389</t>
  </si>
  <si>
    <t>+0.329</t>
  </si>
  <si>
    <t>+0.513</t>
  </si>
  <si>
    <t>+5.599</t>
  </si>
  <si>
    <t>+0.475</t>
  </si>
  <si>
    <t>+0.239</t>
  </si>
  <si>
    <t>+1.628</t>
  </si>
  <si>
    <t>+1.893</t>
  </si>
  <si>
    <t>+2.420</t>
  </si>
  <si>
    <t>+0.119</t>
  </si>
  <si>
    <t>+0.684</t>
  </si>
  <si>
    <t>+0.373</t>
  </si>
  <si>
    <t>+0.681</t>
  </si>
  <si>
    <t>+5.016</t>
  </si>
  <si>
    <t>1:33.827</t>
  </si>
  <si>
    <t>1:33.590</t>
  </si>
  <si>
    <t>1:34.565</t>
  </si>
  <si>
    <t>1:34.757</t>
  </si>
  <si>
    <t>1:34.523</t>
  </si>
  <si>
    <t>1:35.463</t>
  </si>
  <si>
    <t>1:34.377</t>
  </si>
  <si>
    <t>1:34.425</t>
  </si>
  <si>
    <t>1:35.346</t>
  </si>
  <si>
    <t>1:34.886</t>
  </si>
  <si>
    <t>1:34.742</t>
  </si>
  <si>
    <t>1:34.580</t>
  </si>
  <si>
    <t>1:35.220</t>
  </si>
  <si>
    <t>1:34.595</t>
  </si>
  <si>
    <t>1:35.265</t>
  </si>
  <si>
    <t>1:34.610</t>
  </si>
  <si>
    <t>1:34.775</t>
  </si>
  <si>
    <t>1:34.898</t>
  </si>
  <si>
    <t>1:35.537</t>
  </si>
  <si>
    <t>1:35.936</t>
  </si>
  <si>
    <t>1:34.317</t>
  </si>
  <si>
    <t>1:34.299</t>
  </si>
  <si>
    <t>01:31.10</t>
  </si>
  <si>
    <t>+51.045</t>
  </si>
  <si>
    <t>+3.045</t>
  </si>
  <si>
    <t>+0.759</t>
  </si>
  <si>
    <t>+0.636</t>
  </si>
  <si>
    <t>+0.662</t>
  </si>
  <si>
    <t>+12.759</t>
  </si>
  <si>
    <t>+0.690</t>
  </si>
  <si>
    <t>+6.059</t>
  </si>
  <si>
    <t>+3.801</t>
  </si>
  <si>
    <t>+0.840</t>
  </si>
  <si>
    <t>+0.457</t>
  </si>
  <si>
    <t>+0.422</t>
  </si>
  <si>
    <t>+4.919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</si>
</sst>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activeCell="AA31" sqref="AA31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2</v>
      </c>
      <c r="K2" s="36">
        <v>25</v>
      </c>
      <c r="L2" s="36">
        <v>15</v>
      </c>
      <c r="M2" s="36">
        <v>18</v>
      </c>
      <c r="N2" s="36" t="s">
        <v>66</v>
      </c>
      <c r="O2" s="59">
        <v>26</v>
      </c>
      <c r="P2" s="59">
        <v>19</v>
      </c>
      <c r="Q2" s="82">
        <v>18</v>
      </c>
      <c r="R2" s="82">
        <v>15</v>
      </c>
      <c r="S2" s="82">
        <v>7</v>
      </c>
      <c r="T2" s="59">
        <v>26</v>
      </c>
      <c r="U2" s="82">
        <v>15</v>
      </c>
      <c r="V2" s="59">
        <v>26</v>
      </c>
      <c r="W2" s="82">
        <v>25</v>
      </c>
      <c r="X2" s="82"/>
      <c r="Y2" s="61"/>
      <c r="Z2" s="61"/>
      <c r="AA2" s="61"/>
      <c r="AB2" s="61"/>
      <c r="AC2" s="61"/>
      <c r="AD2" s="36">
        <f>SUM(C2:AC2)</f>
        <v>374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8</v>
      </c>
      <c r="K3" s="36">
        <v>18</v>
      </c>
      <c r="L3" s="36">
        <v>12</v>
      </c>
      <c r="M3" s="36">
        <v>25</v>
      </c>
      <c r="N3" s="36" t="s">
        <v>66</v>
      </c>
      <c r="O3" s="82">
        <v>15</v>
      </c>
      <c r="P3" s="82">
        <v>25</v>
      </c>
      <c r="Q3" s="82">
        <v>25</v>
      </c>
      <c r="R3" s="59">
        <v>26</v>
      </c>
      <c r="S3" s="59">
        <v>8</v>
      </c>
      <c r="T3" s="82">
        <v>18</v>
      </c>
      <c r="U3" s="82">
        <v>25</v>
      </c>
      <c r="V3" s="82">
        <v>15</v>
      </c>
      <c r="W3" s="59">
        <v>19</v>
      </c>
      <c r="X3" s="82">
        <v>12</v>
      </c>
      <c r="Y3" s="61"/>
      <c r="Z3" s="61"/>
      <c r="AA3" s="61"/>
      <c r="AB3" s="61"/>
      <c r="AC3" s="61"/>
      <c r="AD3" s="36">
        <f>SUM(C3:AC3)</f>
        <v>379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83">
        <v>12</v>
      </c>
      <c r="R4" s="83">
        <v>4</v>
      </c>
      <c r="S4" s="83">
        <v>5</v>
      </c>
      <c r="T4" s="83"/>
      <c r="U4" s="83">
        <v>10</v>
      </c>
      <c r="V4" s="83">
        <v>6</v>
      </c>
      <c r="W4" s="83"/>
      <c r="X4" s="83">
        <v>25</v>
      </c>
      <c r="Y4" s="62"/>
      <c r="Z4" s="62"/>
      <c r="AA4" s="62"/>
      <c r="AB4" s="62"/>
      <c r="AC4" s="62"/>
      <c r="AD4" s="37">
        <f>SUM(C4:AC4)</f>
        <v>244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86">
        <v>10</v>
      </c>
      <c r="R5" s="86"/>
      <c r="S5" s="86">
        <v>4</v>
      </c>
      <c r="T5" s="86">
        <v>12</v>
      </c>
      <c r="U5" s="86">
        <v>18</v>
      </c>
      <c r="V5" s="86">
        <v>12</v>
      </c>
      <c r="W5" s="86">
        <v>12</v>
      </c>
      <c r="X5" s="59">
        <v>19</v>
      </c>
      <c r="Y5" s="66"/>
      <c r="Z5" s="66"/>
      <c r="AA5" s="66"/>
      <c r="AB5" s="66"/>
      <c r="AC5" s="66"/>
      <c r="AD5" s="40">
        <f>SUM(C5:AC5)</f>
        <v>229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90"/>
      <c r="R6" s="90"/>
      <c r="S6" s="90">
        <v>2</v>
      </c>
      <c r="T6" s="90">
        <v>15</v>
      </c>
      <c r="U6" s="90">
        <v>6</v>
      </c>
      <c r="V6" s="90">
        <v>10</v>
      </c>
      <c r="W6" s="90">
        <v>15</v>
      </c>
      <c r="X6" s="90"/>
      <c r="Y6" s="70"/>
      <c r="Z6" s="70"/>
      <c r="AA6" s="70"/>
      <c r="AB6" s="70"/>
      <c r="AC6" s="70"/>
      <c r="AD6" s="45">
        <f>SUM(C6:AC6)</f>
        <v>154</v>
      </c>
    </row>
    <row r="7" spans="1:30" x14ac:dyDescent="0.35">
      <c r="A7" s="30">
        <v>6</v>
      </c>
      <c r="B7" s="116" t="s">
        <v>63</v>
      </c>
      <c r="C7" s="116">
        <v>10</v>
      </c>
      <c r="D7" s="116">
        <v>15</v>
      </c>
      <c r="E7" s="116">
        <v>10</v>
      </c>
      <c r="F7" s="116">
        <v>1</v>
      </c>
      <c r="G7" s="116">
        <v>4</v>
      </c>
      <c r="H7" s="116"/>
      <c r="I7" s="116">
        <v>1</v>
      </c>
      <c r="J7" s="116"/>
      <c r="K7" s="116">
        <v>2</v>
      </c>
      <c r="L7" s="116">
        <v>8</v>
      </c>
      <c r="M7" s="116"/>
      <c r="N7" s="79">
        <v>19</v>
      </c>
      <c r="O7" s="116"/>
      <c r="P7" s="116">
        <v>4</v>
      </c>
      <c r="Q7" s="116">
        <v>4</v>
      </c>
      <c r="R7" s="116">
        <v>18</v>
      </c>
      <c r="S7" s="116">
        <v>6</v>
      </c>
      <c r="T7" s="116">
        <v>8</v>
      </c>
      <c r="U7" s="116"/>
      <c r="V7" s="116">
        <v>18</v>
      </c>
      <c r="W7" s="116">
        <v>10</v>
      </c>
      <c r="X7" s="116"/>
      <c r="Y7" s="66"/>
      <c r="Z7" s="66"/>
      <c r="AA7" s="66"/>
      <c r="AB7" s="66"/>
      <c r="AC7" s="66"/>
      <c r="AD7" s="116">
        <f>SUM(C7:AC7)</f>
        <v>138</v>
      </c>
    </row>
    <row r="8" spans="1:30" x14ac:dyDescent="0.35">
      <c r="A8" s="30">
        <v>7</v>
      </c>
      <c r="B8" s="87" t="s">
        <v>54</v>
      </c>
      <c r="C8" s="87">
        <v>2</v>
      </c>
      <c r="D8" s="87"/>
      <c r="E8" s="87">
        <v>4</v>
      </c>
      <c r="F8" s="87"/>
      <c r="G8" s="87">
        <v>1</v>
      </c>
      <c r="H8" s="87">
        <v>10</v>
      </c>
      <c r="I8" s="87">
        <v>8</v>
      </c>
      <c r="J8" s="87">
        <v>1</v>
      </c>
      <c r="K8" s="87">
        <v>8</v>
      </c>
      <c r="L8" s="87">
        <v>10</v>
      </c>
      <c r="M8" s="87">
        <v>10</v>
      </c>
      <c r="N8" s="87">
        <v>15</v>
      </c>
      <c r="O8" s="87"/>
      <c r="P8" s="87">
        <v>10</v>
      </c>
      <c r="Q8" s="87">
        <v>15</v>
      </c>
      <c r="R8" s="87">
        <v>2</v>
      </c>
      <c r="S8" s="87"/>
      <c r="T8" s="87">
        <v>10</v>
      </c>
      <c r="U8" s="87">
        <v>8</v>
      </c>
      <c r="V8" s="87">
        <v>8</v>
      </c>
      <c r="W8" s="87" t="s">
        <v>66</v>
      </c>
      <c r="X8" s="87">
        <v>6</v>
      </c>
      <c r="Y8" s="65"/>
      <c r="Z8" s="65"/>
      <c r="AA8" s="65"/>
      <c r="AB8" s="65"/>
      <c r="AC8" s="65"/>
      <c r="AD8" s="87">
        <f>SUM(C8:AC8)</f>
        <v>128</v>
      </c>
    </row>
    <row r="9" spans="1:30" x14ac:dyDescent="0.35">
      <c r="A9" s="30">
        <v>8</v>
      </c>
      <c r="B9" s="83" t="s">
        <v>53</v>
      </c>
      <c r="C9" s="83">
        <v>6</v>
      </c>
      <c r="D9" s="83">
        <v>2</v>
      </c>
      <c r="E9" s="83">
        <v>8</v>
      </c>
      <c r="F9" s="83">
        <v>8</v>
      </c>
      <c r="G9" s="83">
        <v>8</v>
      </c>
      <c r="H9" s="83"/>
      <c r="I9" s="83">
        <v>2</v>
      </c>
      <c r="J9" s="83">
        <v>3</v>
      </c>
      <c r="K9" s="83">
        <v>4</v>
      </c>
      <c r="L9" s="83"/>
      <c r="M9" s="83">
        <v>6</v>
      </c>
      <c r="N9" s="83" t="s">
        <v>66</v>
      </c>
      <c r="O9" s="83">
        <v>10</v>
      </c>
      <c r="P9" s="83">
        <v>8</v>
      </c>
      <c r="Q9" s="83">
        <v>9</v>
      </c>
      <c r="R9" s="83" t="s">
        <v>66</v>
      </c>
      <c r="S9" s="83">
        <v>1</v>
      </c>
      <c r="T9" s="83">
        <v>2</v>
      </c>
      <c r="U9" s="58">
        <v>13</v>
      </c>
      <c r="V9" s="83"/>
      <c r="W9" s="83">
        <v>8</v>
      </c>
      <c r="X9" s="83"/>
      <c r="Y9" s="62"/>
      <c r="Z9" s="62"/>
      <c r="AA9" s="62"/>
      <c r="AB9" s="62"/>
      <c r="AC9" s="62"/>
      <c r="AD9" s="83">
        <f>SUM(C9:AC9)</f>
        <v>98</v>
      </c>
    </row>
    <row r="10" spans="1:30" x14ac:dyDescent="0.35">
      <c r="A10" s="30">
        <v>9</v>
      </c>
      <c r="B10" s="84" t="s">
        <v>55</v>
      </c>
      <c r="C10" s="84">
        <v>4</v>
      </c>
      <c r="D10" s="84">
        <v>10</v>
      </c>
      <c r="E10" s="84"/>
      <c r="F10" s="59">
        <v>13</v>
      </c>
      <c r="G10" s="84">
        <v>12</v>
      </c>
      <c r="H10" s="84">
        <v>6</v>
      </c>
      <c r="I10" s="84">
        <v>12</v>
      </c>
      <c r="J10" s="84">
        <v>4</v>
      </c>
      <c r="K10" s="84">
        <v>10</v>
      </c>
      <c r="L10" s="84"/>
      <c r="M10" s="84"/>
      <c r="N10" s="84">
        <v>2</v>
      </c>
      <c r="O10" s="84">
        <v>6</v>
      </c>
      <c r="P10" s="84">
        <v>6</v>
      </c>
      <c r="Q10" s="84">
        <v>2</v>
      </c>
      <c r="R10" s="84" t="s">
        <v>66</v>
      </c>
      <c r="S10" s="84"/>
      <c r="T10" s="84">
        <v>1</v>
      </c>
      <c r="U10" s="84"/>
      <c r="V10" s="84"/>
      <c r="W10" s="84"/>
      <c r="X10" s="84"/>
      <c r="Y10" s="69"/>
      <c r="Z10" s="69"/>
      <c r="AA10" s="69"/>
      <c r="AB10" s="69"/>
      <c r="AC10" s="69"/>
      <c r="AD10" s="84">
        <f>SUM(C10:AC10)</f>
        <v>88</v>
      </c>
    </row>
    <row r="11" spans="1:30" x14ac:dyDescent="0.35">
      <c r="A11" s="30">
        <v>10</v>
      </c>
      <c r="B11" s="90" t="s">
        <v>73</v>
      </c>
      <c r="C11" s="90"/>
      <c r="D11" s="90"/>
      <c r="E11" s="90"/>
      <c r="F11" s="90">
        <v>6</v>
      </c>
      <c r="G11" s="90"/>
      <c r="H11" s="90"/>
      <c r="I11" s="90"/>
      <c r="J11" s="90"/>
      <c r="K11" s="90"/>
      <c r="L11" s="58"/>
      <c r="M11" s="90">
        <v>8</v>
      </c>
      <c r="N11" s="90">
        <v>4</v>
      </c>
      <c r="O11" s="90">
        <v>2</v>
      </c>
      <c r="P11" s="90">
        <v>2</v>
      </c>
      <c r="Q11" s="90">
        <v>6</v>
      </c>
      <c r="R11" s="90"/>
      <c r="S11" s="90"/>
      <c r="T11" s="90">
        <v>6</v>
      </c>
      <c r="U11" s="90">
        <v>1</v>
      </c>
      <c r="V11" s="90"/>
      <c r="W11" s="90">
        <v>6</v>
      </c>
      <c r="X11" s="90">
        <v>15</v>
      </c>
      <c r="Y11" s="70"/>
      <c r="Z11" s="70"/>
      <c r="AA11" s="70"/>
      <c r="AB11" s="70"/>
      <c r="AC11" s="70"/>
      <c r="AD11" s="90">
        <f>SUM(C11:AC11)</f>
        <v>56</v>
      </c>
    </row>
    <row r="12" spans="1:30" x14ac:dyDescent="0.35">
      <c r="A12" s="30">
        <v>11</v>
      </c>
      <c r="B12" s="87" t="s">
        <v>136</v>
      </c>
      <c r="C12" s="87"/>
      <c r="D12" s="87"/>
      <c r="E12" s="87"/>
      <c r="F12" s="87">
        <v>4</v>
      </c>
      <c r="G12" s="87"/>
      <c r="H12" s="87">
        <v>8</v>
      </c>
      <c r="I12" s="87" t="s">
        <v>66</v>
      </c>
      <c r="J12" s="87"/>
      <c r="K12" s="87"/>
      <c r="L12" s="87">
        <v>4</v>
      </c>
      <c r="M12" s="87">
        <v>4</v>
      </c>
      <c r="N12" s="87">
        <v>12</v>
      </c>
      <c r="O12" s="87">
        <v>4</v>
      </c>
      <c r="P12" s="87"/>
      <c r="Q12" s="87"/>
      <c r="R12" s="87" t="s">
        <v>66</v>
      </c>
      <c r="S12" s="87"/>
      <c r="T12" s="87"/>
      <c r="U12" s="87">
        <v>2</v>
      </c>
      <c r="V12" s="87" t="s">
        <v>66</v>
      </c>
      <c r="W12" s="87"/>
      <c r="X12" s="87"/>
      <c r="Y12" s="65"/>
      <c r="Z12" s="65"/>
      <c r="AA12" s="65"/>
      <c r="AB12" s="65"/>
      <c r="AC12" s="65"/>
      <c r="AD12" s="87">
        <f>SUM(C12:AC12)</f>
        <v>38</v>
      </c>
    </row>
    <row r="13" spans="1:30" x14ac:dyDescent="0.35">
      <c r="A13" s="30">
        <v>12</v>
      </c>
      <c r="B13" s="104" t="s">
        <v>64</v>
      </c>
      <c r="C13" s="104"/>
      <c r="D13" s="104"/>
      <c r="E13" s="104">
        <v>6</v>
      </c>
      <c r="F13" s="104"/>
      <c r="G13" s="104"/>
      <c r="H13" s="104">
        <v>1</v>
      </c>
      <c r="I13" s="104"/>
      <c r="J13" s="104"/>
      <c r="K13" s="104"/>
      <c r="L13" s="104" t="s">
        <v>66</v>
      </c>
      <c r="M13" s="104"/>
      <c r="N13" s="104" t="s">
        <v>66</v>
      </c>
      <c r="O13" s="104">
        <v>1</v>
      </c>
      <c r="P13" s="104">
        <v>1</v>
      </c>
      <c r="Q13" s="104"/>
      <c r="R13" s="104">
        <v>12</v>
      </c>
      <c r="S13" s="104">
        <v>3</v>
      </c>
      <c r="T13" s="104">
        <v>4</v>
      </c>
      <c r="U13" s="104">
        <v>4</v>
      </c>
      <c r="V13" s="104">
        <v>4</v>
      </c>
      <c r="W13" s="104" t="s">
        <v>66</v>
      </c>
      <c r="X13" s="104" t="s">
        <v>66</v>
      </c>
      <c r="Y13" s="71"/>
      <c r="Z13" s="71"/>
      <c r="AA13" s="71"/>
      <c r="AB13" s="71"/>
      <c r="AC13" s="71"/>
      <c r="AD13" s="104">
        <f>SUM(C13:AC13)</f>
        <v>36</v>
      </c>
    </row>
    <row r="14" spans="1:30" x14ac:dyDescent="0.35">
      <c r="A14" s="30">
        <v>13</v>
      </c>
      <c r="B14" s="88" t="s">
        <v>62</v>
      </c>
      <c r="C14" s="88"/>
      <c r="D14" s="88">
        <v>4</v>
      </c>
      <c r="E14" s="88"/>
      <c r="F14" s="88"/>
      <c r="G14" s="88"/>
      <c r="H14" s="88"/>
      <c r="I14" s="88"/>
      <c r="J14" s="88"/>
      <c r="K14" s="88"/>
      <c r="L14" s="88" t="s">
        <v>66</v>
      </c>
      <c r="M14" s="88"/>
      <c r="N14" s="88">
        <v>25</v>
      </c>
      <c r="O14" s="88"/>
      <c r="P14" s="88"/>
      <c r="Q14" s="88"/>
      <c r="R14" s="88"/>
      <c r="S14" s="88"/>
      <c r="T14" s="88"/>
      <c r="U14" s="88"/>
      <c r="V14" s="88">
        <v>1</v>
      </c>
      <c r="W14" s="88"/>
      <c r="X14" s="88">
        <v>4</v>
      </c>
      <c r="Y14" s="68"/>
      <c r="Z14" s="68"/>
      <c r="AA14" s="68"/>
      <c r="AB14" s="68"/>
      <c r="AC14" s="68"/>
      <c r="AD14" s="88">
        <f>SUM(C14:AC14)</f>
        <v>34</v>
      </c>
    </row>
    <row r="15" spans="1:30" x14ac:dyDescent="0.35">
      <c r="A15" s="30">
        <v>14</v>
      </c>
      <c r="B15" s="89" t="s">
        <v>60</v>
      </c>
      <c r="C15" s="89"/>
      <c r="D15" s="89"/>
      <c r="E15" s="89"/>
      <c r="F15" s="89"/>
      <c r="G15" s="89"/>
      <c r="H15" s="89">
        <v>4</v>
      </c>
      <c r="I15" s="89"/>
      <c r="J15" s="89"/>
      <c r="K15" s="89" t="s">
        <v>66</v>
      </c>
      <c r="L15" s="89">
        <v>6</v>
      </c>
      <c r="M15" s="89"/>
      <c r="N15" s="89">
        <v>10</v>
      </c>
      <c r="O15" s="89"/>
      <c r="P15" s="89"/>
      <c r="Q15" s="89"/>
      <c r="R15" s="89">
        <v>6</v>
      </c>
      <c r="S15" s="89"/>
      <c r="T15" s="89"/>
      <c r="U15" s="89"/>
      <c r="V15" s="89">
        <v>2</v>
      </c>
      <c r="W15" s="89">
        <v>2</v>
      </c>
      <c r="X15" s="89">
        <v>2</v>
      </c>
      <c r="Y15" s="67"/>
      <c r="Z15" s="67"/>
      <c r="AA15" s="67"/>
      <c r="AB15" s="67"/>
      <c r="AC15" s="67"/>
      <c r="AD15" s="89">
        <f>SUM(C15:AC15)</f>
        <v>32</v>
      </c>
    </row>
    <row r="16" spans="1:30" x14ac:dyDescent="0.35">
      <c r="A16" s="30">
        <v>15</v>
      </c>
      <c r="B16" s="85" t="s">
        <v>56</v>
      </c>
      <c r="C16" s="58">
        <v>2</v>
      </c>
      <c r="D16" s="85" t="s">
        <v>66</v>
      </c>
      <c r="E16" s="85"/>
      <c r="F16" s="85"/>
      <c r="G16" s="85">
        <v>2</v>
      </c>
      <c r="H16" s="85"/>
      <c r="I16" s="85"/>
      <c r="J16" s="85"/>
      <c r="K16" s="85">
        <v>1</v>
      </c>
      <c r="L16" s="85"/>
      <c r="M16" s="85"/>
      <c r="N16" s="85" t="s">
        <v>66</v>
      </c>
      <c r="O16" s="85"/>
      <c r="P16" s="85"/>
      <c r="Q16" s="85">
        <v>1</v>
      </c>
      <c r="R16" s="85">
        <v>8</v>
      </c>
      <c r="S16" s="85"/>
      <c r="T16" s="85"/>
      <c r="U16" s="85"/>
      <c r="V16" s="85"/>
      <c r="W16" s="85">
        <v>4</v>
      </c>
      <c r="X16" s="85">
        <v>10</v>
      </c>
      <c r="Y16" s="63"/>
      <c r="Z16" s="63"/>
      <c r="AA16" s="63"/>
      <c r="AB16" s="63"/>
      <c r="AC16" s="63"/>
      <c r="AD16" s="85">
        <f>SUM(C16:AC16)</f>
        <v>28</v>
      </c>
    </row>
    <row r="17" spans="1:30" x14ac:dyDescent="0.35">
      <c r="A17" s="30">
        <v>16</v>
      </c>
      <c r="B17" s="89" t="s">
        <v>58</v>
      </c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>
        <v>1</v>
      </c>
      <c r="N17" s="89">
        <v>6</v>
      </c>
      <c r="O17" s="89"/>
      <c r="P17" s="89"/>
      <c r="Q17" s="89"/>
      <c r="R17" s="89">
        <v>10</v>
      </c>
      <c r="S17" s="89"/>
      <c r="T17" s="89"/>
      <c r="U17" s="89"/>
      <c r="V17" s="89"/>
      <c r="W17" s="89"/>
      <c r="X17" s="89">
        <v>8</v>
      </c>
      <c r="Y17" s="67"/>
      <c r="Z17" s="67"/>
      <c r="AA17" s="67"/>
      <c r="AB17" s="67"/>
      <c r="AC17" s="67"/>
      <c r="AD17" s="89">
        <f>SUM(C17:AC17)</f>
        <v>25</v>
      </c>
    </row>
    <row r="18" spans="1:30" x14ac:dyDescent="0.35">
      <c r="A18" s="30">
        <v>17</v>
      </c>
      <c r="B18" s="91" t="s">
        <v>134</v>
      </c>
      <c r="C18" s="91"/>
      <c r="D18" s="91">
        <v>1</v>
      </c>
      <c r="E18" s="91">
        <v>2</v>
      </c>
      <c r="F18" s="91"/>
      <c r="G18" s="91"/>
      <c r="H18" s="91">
        <v>2</v>
      </c>
      <c r="I18" s="91"/>
      <c r="J18" s="91"/>
      <c r="K18" s="91"/>
      <c r="L18" s="91"/>
      <c r="M18" s="91"/>
      <c r="N18" s="91">
        <v>8</v>
      </c>
      <c r="O18" s="91"/>
      <c r="P18" s="91"/>
      <c r="Q18" s="91"/>
      <c r="R18" s="91">
        <v>1</v>
      </c>
      <c r="S18" s="91"/>
      <c r="T18" s="91"/>
      <c r="U18" s="91"/>
      <c r="V18" s="91"/>
      <c r="W18" s="91"/>
      <c r="X18" s="91"/>
      <c r="Y18" s="64"/>
      <c r="Z18" s="64"/>
      <c r="AA18" s="64"/>
      <c r="AB18" s="64"/>
      <c r="AC18" s="64"/>
      <c r="AD18" s="91">
        <f>SUM(C18:AC18)</f>
        <v>14</v>
      </c>
    </row>
    <row r="19" spans="1:30" x14ac:dyDescent="0.35">
      <c r="A19" s="30">
        <v>18</v>
      </c>
      <c r="B19" s="84" t="s">
        <v>65</v>
      </c>
      <c r="C19" s="84"/>
      <c r="D19" s="84">
        <v>6</v>
      </c>
      <c r="E19" s="84"/>
      <c r="F19" s="84"/>
      <c r="G19" s="84"/>
      <c r="H19" s="84"/>
      <c r="I19" s="84"/>
      <c r="J19" s="84"/>
      <c r="K19" s="84"/>
      <c r="L19" s="84">
        <v>2</v>
      </c>
      <c r="M19" s="84"/>
      <c r="N19" s="84" t="s">
        <v>66</v>
      </c>
      <c r="O19" s="84"/>
      <c r="P19" s="84"/>
      <c r="Q19" s="84"/>
      <c r="R19" s="84"/>
      <c r="S19" s="84" t="s">
        <v>66</v>
      </c>
      <c r="T19" s="84"/>
      <c r="U19" s="84"/>
      <c r="V19" s="84"/>
      <c r="W19" s="84"/>
      <c r="X19" s="84">
        <v>1</v>
      </c>
      <c r="Y19" s="69"/>
      <c r="Z19" s="69"/>
      <c r="AA19" s="69"/>
      <c r="AB19" s="69"/>
      <c r="AC19" s="69"/>
      <c r="AD19" s="84">
        <f>SUM(C19:AC19)</f>
        <v>9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85" t="s">
        <v>66</v>
      </c>
      <c r="R20" s="85" t="s">
        <v>66</v>
      </c>
      <c r="S20" s="85"/>
      <c r="T20" s="85"/>
      <c r="U20" s="85"/>
      <c r="V20" s="85"/>
      <c r="W20" s="85">
        <v>1</v>
      </c>
      <c r="X20" s="85"/>
      <c r="Y20" s="63"/>
      <c r="Z20" s="63"/>
      <c r="AA20" s="63"/>
      <c r="AB20" s="63"/>
      <c r="AC20" s="63"/>
      <c r="AD20" s="39">
        <f>SUM(C20:AC20)</f>
        <v>5</v>
      </c>
    </row>
    <row r="21" spans="1:30" x14ac:dyDescent="0.35">
      <c r="A21" s="30">
        <v>20</v>
      </c>
      <c r="B21" s="104" t="s">
        <v>135</v>
      </c>
      <c r="C21" s="104"/>
      <c r="D21" s="104" t="s">
        <v>66</v>
      </c>
      <c r="E21" s="104"/>
      <c r="F21" s="104"/>
      <c r="G21" s="104"/>
      <c r="H21" s="104" t="s">
        <v>66</v>
      </c>
      <c r="I21" s="104"/>
      <c r="J21" s="104"/>
      <c r="K21" s="104"/>
      <c r="L21" s="104"/>
      <c r="M21" s="104"/>
      <c r="N21" s="104" t="s">
        <v>66</v>
      </c>
      <c r="O21" s="104"/>
      <c r="P21" s="104"/>
      <c r="Q21" s="104"/>
      <c r="R21" s="104" t="s">
        <v>66</v>
      </c>
      <c r="S21" s="104"/>
      <c r="T21" s="104"/>
      <c r="U21" s="104"/>
      <c r="V21" s="104"/>
      <c r="W21" s="104"/>
      <c r="X21" s="104" t="s">
        <v>66</v>
      </c>
      <c r="Y21" s="71"/>
      <c r="Z21" s="71"/>
      <c r="AA21" s="71"/>
      <c r="AB21" s="71"/>
      <c r="AC21" s="71"/>
      <c r="AD21" s="104">
        <f>SUM(C21:AC21)</f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43" t="s">
        <v>66</v>
      </c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68"/>
      <c r="Z22" s="68"/>
      <c r="AA22" s="68"/>
      <c r="AB22" s="68"/>
      <c r="AC22" s="68"/>
      <c r="AD22" s="43">
        <f>SUM(C22:AC22)</f>
        <v>0</v>
      </c>
    </row>
    <row r="23" spans="1:30" x14ac:dyDescent="0.35">
      <c r="A23" s="30">
        <v>22</v>
      </c>
      <c r="B23" s="91" t="s">
        <v>57</v>
      </c>
      <c r="C23" s="91"/>
      <c r="D23" s="91"/>
      <c r="E23" s="91"/>
      <c r="F23" s="91"/>
      <c r="G23" s="91"/>
      <c r="H23" s="91"/>
      <c r="I23" s="59"/>
      <c r="J23" s="91"/>
      <c r="K23" s="91"/>
      <c r="L23" s="91"/>
      <c r="M23" s="91"/>
      <c r="N23" s="91" t="s">
        <v>66</v>
      </c>
      <c r="O23" s="91"/>
      <c r="P23" s="91"/>
      <c r="Q23" s="91"/>
      <c r="R23" s="91"/>
      <c r="S23" s="91"/>
      <c r="T23" s="91"/>
      <c r="U23" s="91"/>
      <c r="V23" s="91" t="s">
        <v>66</v>
      </c>
      <c r="W23" s="91"/>
      <c r="X23" s="91"/>
      <c r="Y23" s="64"/>
      <c r="Z23" s="64"/>
      <c r="AA23" s="64"/>
      <c r="AB23" s="64"/>
      <c r="AC23" s="64"/>
      <c r="AD23" s="91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Y7" sqref="Y7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82">
        <v>43</v>
      </c>
      <c r="R2" s="59">
        <v>41</v>
      </c>
      <c r="S2" s="59">
        <v>15</v>
      </c>
      <c r="T2" s="59">
        <v>44</v>
      </c>
      <c r="U2" s="82">
        <v>40</v>
      </c>
      <c r="V2" s="59">
        <v>41</v>
      </c>
      <c r="W2" s="59">
        <v>44</v>
      </c>
      <c r="X2" s="82">
        <v>12</v>
      </c>
      <c r="Y2" s="61"/>
      <c r="Z2" s="61"/>
      <c r="AA2" s="61"/>
      <c r="AB2" s="61"/>
      <c r="AC2" s="61"/>
      <c r="AD2" s="31">
        <f>SUM(C2:AC2)</f>
        <v>753</v>
      </c>
    </row>
    <row r="3" spans="1:30" x14ac:dyDescent="0.35">
      <c r="A3" s="32">
        <v>2</v>
      </c>
      <c r="B3" s="86" t="s">
        <v>14</v>
      </c>
      <c r="C3" s="86">
        <v>25</v>
      </c>
      <c r="D3" s="86">
        <v>15</v>
      </c>
      <c r="E3" s="59">
        <v>12</v>
      </c>
      <c r="F3" s="86">
        <v>11</v>
      </c>
      <c r="G3" s="86">
        <v>10</v>
      </c>
      <c r="H3" s="59">
        <v>26</v>
      </c>
      <c r="I3" s="86">
        <v>16</v>
      </c>
      <c r="J3" s="86">
        <v>7</v>
      </c>
      <c r="K3" s="59">
        <v>15</v>
      </c>
      <c r="L3" s="86">
        <v>26</v>
      </c>
      <c r="M3" s="86">
        <v>2</v>
      </c>
      <c r="N3" s="59">
        <v>20</v>
      </c>
      <c r="O3" s="86">
        <v>12</v>
      </c>
      <c r="P3" s="86">
        <v>19</v>
      </c>
      <c r="Q3" s="86">
        <v>14</v>
      </c>
      <c r="R3" s="86">
        <v>18</v>
      </c>
      <c r="S3" s="86">
        <v>10</v>
      </c>
      <c r="T3" s="86">
        <v>20</v>
      </c>
      <c r="U3" s="86">
        <v>18</v>
      </c>
      <c r="V3" s="86">
        <v>30</v>
      </c>
      <c r="W3" s="86">
        <v>22</v>
      </c>
      <c r="X3" s="59">
        <v>19</v>
      </c>
      <c r="Y3" s="66"/>
      <c r="Z3" s="66"/>
      <c r="AA3" s="66"/>
      <c r="AB3" s="66"/>
      <c r="AC3" s="66"/>
      <c r="AD3" s="86">
        <f>SUM(C3:AC3)</f>
        <v>367</v>
      </c>
    </row>
    <row r="4" spans="1:30" x14ac:dyDescent="0.35">
      <c r="A4" s="33">
        <v>3</v>
      </c>
      <c r="B4" s="83" t="s">
        <v>11</v>
      </c>
      <c r="C4" s="83">
        <v>18</v>
      </c>
      <c r="D4" s="58">
        <v>11</v>
      </c>
      <c r="E4" s="83">
        <v>26</v>
      </c>
      <c r="F4" s="83">
        <v>33</v>
      </c>
      <c r="G4" s="58">
        <v>34</v>
      </c>
      <c r="H4" s="83"/>
      <c r="I4" s="83">
        <v>12</v>
      </c>
      <c r="J4" s="58">
        <v>9</v>
      </c>
      <c r="K4" s="83">
        <v>10</v>
      </c>
      <c r="L4" s="83">
        <v>25</v>
      </c>
      <c r="M4" s="83">
        <v>21</v>
      </c>
      <c r="N4" s="83"/>
      <c r="O4" s="83">
        <v>28</v>
      </c>
      <c r="P4" s="83">
        <v>20</v>
      </c>
      <c r="Q4" s="58">
        <v>21</v>
      </c>
      <c r="R4" s="83">
        <v>4</v>
      </c>
      <c r="S4" s="83">
        <v>6</v>
      </c>
      <c r="T4" s="83">
        <v>2</v>
      </c>
      <c r="U4" s="58">
        <v>23</v>
      </c>
      <c r="V4" s="83">
        <v>6</v>
      </c>
      <c r="W4" s="83">
        <v>8</v>
      </c>
      <c r="X4" s="83">
        <v>25</v>
      </c>
      <c r="Y4" s="62"/>
      <c r="Z4" s="62"/>
      <c r="AA4" s="62"/>
      <c r="AB4" s="62"/>
      <c r="AC4" s="62"/>
      <c r="AD4" s="83">
        <f>SUM(C4:AC4)</f>
        <v>342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90">
        <v>6</v>
      </c>
      <c r="R5" s="90"/>
      <c r="S5" s="90">
        <v>2</v>
      </c>
      <c r="T5" s="90">
        <v>21</v>
      </c>
      <c r="U5" s="90">
        <v>7</v>
      </c>
      <c r="V5" s="90">
        <v>10</v>
      </c>
      <c r="W5" s="90">
        <v>21</v>
      </c>
      <c r="X5" s="90">
        <v>15</v>
      </c>
      <c r="Y5" s="70"/>
      <c r="Z5" s="70"/>
      <c r="AA5" s="70"/>
      <c r="AB5" s="70"/>
      <c r="AC5" s="70"/>
      <c r="AD5" s="45">
        <f>SUM(C5:AC5)</f>
        <v>210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87">
        <v>15</v>
      </c>
      <c r="R6" s="87">
        <v>2</v>
      </c>
      <c r="S6" s="87"/>
      <c r="T6" s="87">
        <v>10</v>
      </c>
      <c r="U6" s="87">
        <v>10</v>
      </c>
      <c r="V6" s="87">
        <v>8</v>
      </c>
      <c r="W6" s="87"/>
      <c r="X6" s="87">
        <v>6</v>
      </c>
      <c r="Y6" s="65"/>
      <c r="Z6" s="65"/>
      <c r="AA6" s="65"/>
      <c r="AB6" s="65"/>
      <c r="AC6" s="65"/>
      <c r="AD6" s="41">
        <f>SUM(C6:AC6)</f>
        <v>166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84">
        <v>2</v>
      </c>
      <c r="R7" s="84"/>
      <c r="S7" s="84"/>
      <c r="T7" s="84">
        <v>1</v>
      </c>
      <c r="U7" s="84"/>
      <c r="V7" s="84"/>
      <c r="W7" s="84"/>
      <c r="X7" s="84">
        <v>1</v>
      </c>
      <c r="Y7" s="69"/>
      <c r="Z7" s="69"/>
      <c r="AA7" s="69"/>
      <c r="AB7" s="69"/>
      <c r="AC7" s="69"/>
      <c r="AD7" s="38">
        <f>SUM(C7:AC7)</f>
        <v>97</v>
      </c>
    </row>
    <row r="8" spans="1:30" x14ac:dyDescent="0.35">
      <c r="A8" s="30">
        <v>7</v>
      </c>
      <c r="B8" s="89" t="s">
        <v>16</v>
      </c>
      <c r="C8" s="89"/>
      <c r="D8" s="89"/>
      <c r="E8" s="89"/>
      <c r="F8" s="89"/>
      <c r="G8" s="89"/>
      <c r="H8" s="89">
        <v>4</v>
      </c>
      <c r="I8" s="89"/>
      <c r="J8" s="89"/>
      <c r="K8" s="89"/>
      <c r="L8" s="89">
        <v>6</v>
      </c>
      <c r="M8" s="89">
        <v>1</v>
      </c>
      <c r="N8" s="89">
        <v>16</v>
      </c>
      <c r="O8" s="89"/>
      <c r="P8" s="89"/>
      <c r="Q8" s="89"/>
      <c r="R8" s="89">
        <v>16</v>
      </c>
      <c r="S8" s="89"/>
      <c r="T8" s="89"/>
      <c r="U8" s="89"/>
      <c r="V8" s="89">
        <v>2</v>
      </c>
      <c r="W8" s="89">
        <v>2</v>
      </c>
      <c r="X8" s="89">
        <v>10</v>
      </c>
      <c r="Y8" s="67"/>
      <c r="Z8" s="67"/>
      <c r="AA8" s="67"/>
      <c r="AB8" s="67"/>
      <c r="AC8" s="67"/>
      <c r="AD8" s="89">
        <f>SUM(C8:AC8)</f>
        <v>57</v>
      </c>
    </row>
    <row r="9" spans="1:30" x14ac:dyDescent="0.35">
      <c r="A9" s="30">
        <v>8</v>
      </c>
      <c r="B9" s="105" t="s">
        <v>19</v>
      </c>
      <c r="C9" s="105"/>
      <c r="D9" s="105"/>
      <c r="E9" s="105">
        <v>6</v>
      </c>
      <c r="F9" s="105"/>
      <c r="G9" s="105"/>
      <c r="H9" s="105">
        <v>1</v>
      </c>
      <c r="I9" s="105"/>
      <c r="J9" s="105"/>
      <c r="K9" s="105"/>
      <c r="L9" s="105"/>
      <c r="M9" s="105"/>
      <c r="N9" s="105"/>
      <c r="O9" s="105">
        <v>1</v>
      </c>
      <c r="P9" s="105">
        <v>1</v>
      </c>
      <c r="Q9" s="105"/>
      <c r="R9" s="105">
        <v>12</v>
      </c>
      <c r="S9" s="105">
        <v>3</v>
      </c>
      <c r="T9" s="105">
        <v>4</v>
      </c>
      <c r="U9" s="105">
        <v>4</v>
      </c>
      <c r="V9" s="105">
        <v>4</v>
      </c>
      <c r="W9" s="105"/>
      <c r="X9" s="105" t="s">
        <v>66</v>
      </c>
      <c r="Y9" s="72"/>
      <c r="Z9" s="72"/>
      <c r="AA9" s="72"/>
      <c r="AB9" s="72"/>
      <c r="AC9" s="72"/>
      <c r="AD9" s="104">
        <f>SUM(C9:AC9)</f>
        <v>36</v>
      </c>
    </row>
    <row r="10" spans="1:30" x14ac:dyDescent="0.35">
      <c r="A10" s="30">
        <v>9</v>
      </c>
      <c r="B10" s="88" t="s">
        <v>20</v>
      </c>
      <c r="C10" s="88"/>
      <c r="D10" s="88">
        <v>4</v>
      </c>
      <c r="E10" s="88"/>
      <c r="F10" s="88"/>
      <c r="G10" s="88"/>
      <c r="H10" s="88"/>
      <c r="I10" s="88"/>
      <c r="J10" s="88"/>
      <c r="K10" s="88"/>
      <c r="L10" s="88"/>
      <c r="M10" s="88"/>
      <c r="N10" s="88">
        <v>25</v>
      </c>
      <c r="O10" s="88"/>
      <c r="P10" s="88"/>
      <c r="Q10" s="88"/>
      <c r="R10" s="88"/>
      <c r="S10" s="88"/>
      <c r="T10" s="88"/>
      <c r="U10" s="88"/>
      <c r="V10" s="88">
        <v>1</v>
      </c>
      <c r="W10" s="88"/>
      <c r="X10" s="88">
        <v>4</v>
      </c>
      <c r="Y10" s="68"/>
      <c r="Z10" s="68"/>
      <c r="AA10" s="68"/>
      <c r="AB10" s="68"/>
      <c r="AC10" s="68"/>
      <c r="AD10" s="88">
        <f>SUM(C10:AC10)</f>
        <v>34</v>
      </c>
    </row>
    <row r="11" spans="1:30" x14ac:dyDescent="0.35">
      <c r="A11" s="30">
        <v>10</v>
      </c>
      <c r="B11" s="39" t="s">
        <v>13</v>
      </c>
      <c r="C11" s="58">
        <v>2</v>
      </c>
      <c r="D11" s="39"/>
      <c r="E11" s="39"/>
      <c r="F11" s="39"/>
      <c r="G11" s="39">
        <v>2</v>
      </c>
      <c r="H11" s="39"/>
      <c r="I11" s="39">
        <v>4</v>
      </c>
      <c r="J11" s="39"/>
      <c r="K11" s="39">
        <v>1</v>
      </c>
      <c r="L11" s="39"/>
      <c r="M11" s="58"/>
      <c r="N11" s="39"/>
      <c r="O11" s="85"/>
      <c r="P11" s="85"/>
      <c r="Q11" s="85">
        <v>1</v>
      </c>
      <c r="R11" s="85">
        <v>8</v>
      </c>
      <c r="S11" s="85"/>
      <c r="T11" s="85"/>
      <c r="U11" s="85"/>
      <c r="V11" s="85"/>
      <c r="W11" s="85">
        <v>5</v>
      </c>
      <c r="X11" s="85">
        <v>10</v>
      </c>
      <c r="Y11" s="63"/>
      <c r="Z11" s="63"/>
      <c r="AA11" s="63"/>
      <c r="AB11" s="63"/>
      <c r="AC11" s="63"/>
      <c r="AD11" s="39">
        <f>SUM(C11:AC11)</f>
        <v>33</v>
      </c>
    </row>
    <row r="12" spans="1:30" x14ac:dyDescent="0.35">
      <c r="A12" s="30">
        <v>11</v>
      </c>
      <c r="B12" s="91" t="s">
        <v>18</v>
      </c>
      <c r="C12" s="91"/>
      <c r="D12" s="91">
        <v>1</v>
      </c>
      <c r="E12" s="91">
        <v>2</v>
      </c>
      <c r="F12" s="91"/>
      <c r="G12" s="91"/>
      <c r="H12" s="91">
        <v>2</v>
      </c>
      <c r="I12" s="59"/>
      <c r="J12" s="91"/>
      <c r="K12" s="91"/>
      <c r="L12" s="91"/>
      <c r="M12" s="91"/>
      <c r="N12" s="91">
        <v>8</v>
      </c>
      <c r="O12" s="91"/>
      <c r="P12" s="91"/>
      <c r="Q12" s="91"/>
      <c r="R12" s="91">
        <v>1</v>
      </c>
      <c r="S12" s="91"/>
      <c r="T12" s="91"/>
      <c r="U12" s="91"/>
      <c r="V12" s="91"/>
      <c r="W12" s="91"/>
      <c r="X12" s="91"/>
      <c r="Y12" s="64"/>
      <c r="Z12" s="64"/>
      <c r="AA12" s="64"/>
      <c r="AB12" s="64"/>
      <c r="AC12" s="64"/>
      <c r="AD12" s="91">
        <f>SUM(C12:AC12)</f>
        <v>14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617</v>
      </c>
      <c r="E28" s="108" t="s">
        <v>639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618</v>
      </c>
      <c r="E29" s="106" t="s">
        <v>616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619</v>
      </c>
      <c r="E30" s="108" t="s">
        <v>640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620</v>
      </c>
      <c r="E31" s="113" t="s">
        <v>641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621</v>
      </c>
      <c r="E32" s="106" t="s">
        <v>642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622</v>
      </c>
      <c r="E33" s="115" t="s">
        <v>643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623</v>
      </c>
      <c r="E34" s="109" t="s">
        <v>644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624</v>
      </c>
      <c r="E35" s="110" t="s">
        <v>645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625</v>
      </c>
      <c r="E36" s="115" t="s">
        <v>646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626</v>
      </c>
      <c r="E37" s="117" t="s">
        <v>647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627</v>
      </c>
      <c r="E38" s="112" t="s">
        <v>648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628</v>
      </c>
      <c r="E39" s="113" t="s">
        <v>649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629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630</v>
      </c>
      <c r="E41" s="114" t="s">
        <v>650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631</v>
      </c>
      <c r="E42" s="112" t="s">
        <v>651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632</v>
      </c>
      <c r="E43" s="107" t="s">
        <v>652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633</v>
      </c>
      <c r="E44" s="114" t="s">
        <v>653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634</v>
      </c>
      <c r="E45" s="107" t="s">
        <v>654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635</v>
      </c>
      <c r="E46" s="111" t="s">
        <v>655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636</v>
      </c>
      <c r="E47" s="109" t="s">
        <v>656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637</v>
      </c>
      <c r="E48" s="111" t="s">
        <v>657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638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658</v>
      </c>
      <c r="E28" s="108" t="s">
        <v>679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659</v>
      </c>
      <c r="E29" s="108" t="s">
        <v>680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660</v>
      </c>
      <c r="E30" s="113" t="s">
        <v>681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661</v>
      </c>
      <c r="E31" s="106" t="s">
        <v>682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662</v>
      </c>
      <c r="E32" s="110" t="s">
        <v>683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663</v>
      </c>
      <c r="E33" s="106" t="s">
        <v>684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664</v>
      </c>
      <c r="E34" s="109" t="s">
        <v>685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665</v>
      </c>
      <c r="E35" s="113" t="s">
        <v>686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666</v>
      </c>
      <c r="E36" s="115" t="s">
        <v>687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667</v>
      </c>
      <c r="E37" s="117" t="s">
        <v>688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668</v>
      </c>
      <c r="E38" s="114" t="s">
        <v>689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669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670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671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672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673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674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675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676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677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678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 t="shared" si="0"/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3" t="s">
        <v>53</v>
      </c>
      <c r="C8" s="83" t="s">
        <v>11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104" t="s">
        <v>64</v>
      </c>
      <c r="C13" s="105" t="s">
        <v>19</v>
      </c>
      <c r="D13" s="81"/>
      <c r="E13" s="81"/>
      <c r="F13" s="81"/>
    </row>
    <row r="14" spans="1:6" x14ac:dyDescent="0.35">
      <c r="A14" s="92">
        <v>12</v>
      </c>
      <c r="B14" s="85" t="s">
        <v>50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4" t="s">
        <v>65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8" t="s">
        <v>62</v>
      </c>
      <c r="C19" s="88" t="s">
        <v>20</v>
      </c>
      <c r="D19" s="28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135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90" t="s">
        <v>73</v>
      </c>
      <c r="C22" s="90" t="s">
        <v>17</v>
      </c>
      <c r="D22" s="28"/>
      <c r="E22" s="81"/>
      <c r="F22" s="81"/>
    </row>
    <row r="23" spans="1:6" x14ac:dyDescent="0.35">
      <c r="A23" s="92">
        <v>21</v>
      </c>
      <c r="B23" s="87" t="s">
        <v>136</v>
      </c>
      <c r="C23" s="87" t="s">
        <v>15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690</v>
      </c>
      <c r="E28" s="108" t="s">
        <v>710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691</v>
      </c>
      <c r="E29" s="108" t="s">
        <v>711</v>
      </c>
      <c r="F29" s="82">
        <v>18</v>
      </c>
    </row>
    <row r="30" spans="1:6" x14ac:dyDescent="0.35">
      <c r="A30" s="92">
        <v>3</v>
      </c>
      <c r="B30" s="87" t="s">
        <v>54</v>
      </c>
      <c r="C30" s="87" t="s">
        <v>15</v>
      </c>
      <c r="D30" s="97" t="s">
        <v>692</v>
      </c>
      <c r="E30" s="110" t="s">
        <v>712</v>
      </c>
      <c r="F30" s="87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693</v>
      </c>
      <c r="E31" s="106" t="s">
        <v>713</v>
      </c>
      <c r="F31" s="83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694</v>
      </c>
      <c r="E32" s="113" t="s">
        <v>714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101" t="s">
        <v>695</v>
      </c>
      <c r="E33" s="106" t="s">
        <v>715</v>
      </c>
      <c r="F33" s="83">
        <v>9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696</v>
      </c>
      <c r="E34" s="115" t="s">
        <v>716</v>
      </c>
      <c r="F34" s="90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697</v>
      </c>
      <c r="E35" s="113" t="s">
        <v>717</v>
      </c>
      <c r="F35" s="86">
        <v>4</v>
      </c>
    </row>
    <row r="36" spans="1:6" x14ac:dyDescent="0.35">
      <c r="A36" s="92">
        <v>9</v>
      </c>
      <c r="B36" s="84" t="s">
        <v>55</v>
      </c>
      <c r="C36" s="84" t="s">
        <v>12</v>
      </c>
      <c r="D36" s="96" t="s">
        <v>698</v>
      </c>
      <c r="E36" s="109" t="s">
        <v>718</v>
      </c>
      <c r="F36" s="84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699</v>
      </c>
      <c r="E37" s="107" t="s">
        <v>719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700</v>
      </c>
      <c r="E38" s="112" t="s">
        <v>720</v>
      </c>
      <c r="F38" s="89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701</v>
      </c>
      <c r="E39" s="117" t="s">
        <v>721</v>
      </c>
      <c r="F39" s="104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702</v>
      </c>
      <c r="E40" s="110" t="s">
        <v>722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703</v>
      </c>
      <c r="E41" s="114" t="s">
        <v>722</v>
      </c>
      <c r="F41" s="88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704</v>
      </c>
      <c r="E42" s="115" t="s">
        <v>722</v>
      </c>
      <c r="F42" s="90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705</v>
      </c>
      <c r="E43" s="112" t="s">
        <v>722</v>
      </c>
      <c r="F43" s="89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706</v>
      </c>
      <c r="E44" s="109" t="s">
        <v>722</v>
      </c>
      <c r="F44" s="84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707</v>
      </c>
      <c r="E45" s="114" t="s">
        <v>722</v>
      </c>
      <c r="F45" s="88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708</v>
      </c>
      <c r="E46" s="117" t="s">
        <v>722</v>
      </c>
      <c r="F46" s="104">
        <v>0</v>
      </c>
    </row>
    <row r="47" spans="1:6" x14ac:dyDescent="0.35">
      <c r="A47" s="92">
        <v>20</v>
      </c>
      <c r="B47" s="91" t="s">
        <v>134</v>
      </c>
      <c r="C47" s="91" t="s">
        <v>18</v>
      </c>
      <c r="D47" s="98" t="s">
        <v>315</v>
      </c>
      <c r="E47" s="111" t="s">
        <v>722</v>
      </c>
      <c r="F47" s="91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709</v>
      </c>
      <c r="E48" s="111" t="s">
        <v>722</v>
      </c>
      <c r="F48" s="91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581</v>
      </c>
      <c r="E49" s="107" t="s">
        <v>723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21</v>
      </c>
      <c r="D54" s="81"/>
      <c r="E54" s="81"/>
      <c r="F54" s="81"/>
    </row>
    <row r="55" spans="1:6" x14ac:dyDescent="0.35">
      <c r="A55" s="92">
        <v>3</v>
      </c>
      <c r="B55" s="87" t="s">
        <v>15</v>
      </c>
      <c r="C55" s="87">
        <f t="shared" si="0"/>
        <v>15</v>
      </c>
      <c r="D55" s="81"/>
      <c r="E55" s="81"/>
      <c r="F55" s="81"/>
    </row>
    <row r="56" spans="1:6" x14ac:dyDescent="0.35">
      <c r="A56" s="92">
        <v>4</v>
      </c>
      <c r="B56" s="86" t="s">
        <v>14</v>
      </c>
      <c r="C56" s="86">
        <f t="shared" si="0"/>
        <v>14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6</v>
      </c>
      <c r="D57" s="81"/>
      <c r="E57" s="81"/>
      <c r="F57" s="81"/>
    </row>
    <row r="58" spans="1:6" x14ac:dyDescent="0.35">
      <c r="A58" s="92">
        <v>6</v>
      </c>
      <c r="B58" s="84" t="s">
        <v>12</v>
      </c>
      <c r="C58" s="84">
        <f t="shared" si="0"/>
        <v>2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116" t="s">
        <v>63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85" t="s">
        <v>50</v>
      </c>
      <c r="C9" s="85" t="s">
        <v>13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58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87" t="s">
        <v>136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91" t="s">
        <v>57</v>
      </c>
      <c r="C13" s="91" t="s">
        <v>18</v>
      </c>
      <c r="D13" s="81"/>
      <c r="E13" s="81"/>
      <c r="F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  <c r="E14" s="81"/>
      <c r="F14" s="81"/>
    </row>
    <row r="15" spans="1:6" x14ac:dyDescent="0.35">
      <c r="A15" s="92">
        <v>13</v>
      </c>
      <c r="B15" s="104" t="s">
        <v>64</v>
      </c>
      <c r="C15" s="105" t="s">
        <v>19</v>
      </c>
      <c r="D15" s="28"/>
      <c r="E15" s="81"/>
      <c r="F15" s="81"/>
    </row>
    <row r="16" spans="1:6" x14ac:dyDescent="0.35">
      <c r="A16" s="92">
        <v>14</v>
      </c>
      <c r="B16" s="84" t="s">
        <v>65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9" t="s">
        <v>60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2" t="s">
        <v>52</v>
      </c>
      <c r="C18" s="82" t="s">
        <v>21</v>
      </c>
      <c r="D18" s="27"/>
      <c r="E18" s="81"/>
      <c r="F18" s="81"/>
    </row>
    <row r="19" spans="1:6" x14ac:dyDescent="0.35">
      <c r="A19" s="92">
        <v>17</v>
      </c>
      <c r="B19" s="90" t="s">
        <v>73</v>
      </c>
      <c r="C19" s="90" t="s">
        <v>17</v>
      </c>
      <c r="D19" s="28"/>
      <c r="E19" s="81"/>
      <c r="F19" s="81"/>
    </row>
    <row r="20" spans="1:6" x14ac:dyDescent="0.35">
      <c r="A20" s="92">
        <v>18</v>
      </c>
      <c r="B20" s="88" t="s">
        <v>62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90" t="s">
        <v>133</v>
      </c>
      <c r="C21" s="90" t="s">
        <v>17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724</v>
      </c>
      <c r="E28" s="108" t="s">
        <v>746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725</v>
      </c>
      <c r="E29" s="113" t="s">
        <v>747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82" t="s">
        <v>726</v>
      </c>
      <c r="E30" s="108" t="s">
        <v>748</v>
      </c>
      <c r="F30" s="82">
        <v>15</v>
      </c>
    </row>
    <row r="31" spans="1:6" x14ac:dyDescent="0.35">
      <c r="A31" s="92">
        <v>4</v>
      </c>
      <c r="B31" s="104" t="s">
        <v>64</v>
      </c>
      <c r="C31" s="105" t="s">
        <v>19</v>
      </c>
      <c r="D31" s="118" t="s">
        <v>727</v>
      </c>
      <c r="E31" s="117" t="s">
        <v>749</v>
      </c>
      <c r="F31" s="104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728</v>
      </c>
      <c r="E32" s="112" t="s">
        <v>750</v>
      </c>
      <c r="F32" s="89">
        <v>10</v>
      </c>
    </row>
    <row r="33" spans="1:6" x14ac:dyDescent="0.35">
      <c r="A33" s="92">
        <v>6</v>
      </c>
      <c r="B33" s="85" t="s">
        <v>56</v>
      </c>
      <c r="C33" s="85" t="s">
        <v>13</v>
      </c>
      <c r="D33" s="94" t="s">
        <v>729</v>
      </c>
      <c r="E33" s="107" t="s">
        <v>751</v>
      </c>
      <c r="F33" s="85">
        <v>8</v>
      </c>
    </row>
    <row r="34" spans="1:6" x14ac:dyDescent="0.35">
      <c r="A34" s="92">
        <v>7</v>
      </c>
      <c r="B34" s="89" t="s">
        <v>60</v>
      </c>
      <c r="C34" s="89" t="s">
        <v>16</v>
      </c>
      <c r="D34" s="99" t="s">
        <v>730</v>
      </c>
      <c r="E34" s="112" t="s">
        <v>752</v>
      </c>
      <c r="F34" s="89">
        <v>6</v>
      </c>
    </row>
    <row r="35" spans="1:6" x14ac:dyDescent="0.35">
      <c r="A35" s="92">
        <v>8</v>
      </c>
      <c r="B35" s="83" t="s">
        <v>49</v>
      </c>
      <c r="C35" s="83" t="s">
        <v>11</v>
      </c>
      <c r="D35" s="93" t="s">
        <v>731</v>
      </c>
      <c r="E35" s="106" t="s">
        <v>753</v>
      </c>
      <c r="F35" s="83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732</v>
      </c>
      <c r="E36" s="110" t="s">
        <v>754</v>
      </c>
      <c r="F36" s="87">
        <v>2</v>
      </c>
    </row>
    <row r="37" spans="1:6" x14ac:dyDescent="0.35">
      <c r="A37" s="92">
        <v>10</v>
      </c>
      <c r="B37" s="91" t="s">
        <v>134</v>
      </c>
      <c r="C37" s="91" t="s">
        <v>18</v>
      </c>
      <c r="D37" s="98" t="s">
        <v>733</v>
      </c>
      <c r="E37" s="111" t="s">
        <v>755</v>
      </c>
      <c r="F37" s="91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734</v>
      </c>
      <c r="E38" s="111" t="s">
        <v>756</v>
      </c>
      <c r="F38" s="91">
        <v>0</v>
      </c>
    </row>
    <row r="39" spans="1:6" x14ac:dyDescent="0.35">
      <c r="A39" s="92">
        <v>12</v>
      </c>
      <c r="B39" s="88" t="s">
        <v>137</v>
      </c>
      <c r="C39" s="88" t="s">
        <v>20</v>
      </c>
      <c r="D39" s="102" t="s">
        <v>735</v>
      </c>
      <c r="E39" s="114" t="s">
        <v>757</v>
      </c>
      <c r="F39" s="88">
        <v>0</v>
      </c>
    </row>
    <row r="40" spans="1:6" x14ac:dyDescent="0.35">
      <c r="A40" s="92">
        <v>13</v>
      </c>
      <c r="B40" s="90" t="s">
        <v>133</v>
      </c>
      <c r="C40" s="90" t="s">
        <v>17</v>
      </c>
      <c r="D40" s="103" t="s">
        <v>736</v>
      </c>
      <c r="E40" s="115" t="s">
        <v>758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737</v>
      </c>
      <c r="E41" s="109" t="s">
        <v>759</v>
      </c>
      <c r="F41" s="84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738</v>
      </c>
      <c r="E42" s="114" t="s">
        <v>760</v>
      </c>
      <c r="F42" s="88">
        <v>0</v>
      </c>
    </row>
    <row r="43" spans="1:6" x14ac:dyDescent="0.35">
      <c r="A43" s="92">
        <v>16</v>
      </c>
      <c r="B43" s="86" t="s">
        <v>59</v>
      </c>
      <c r="C43" s="86" t="s">
        <v>14</v>
      </c>
      <c r="D43" s="100" t="s">
        <v>739</v>
      </c>
      <c r="E43" s="113" t="s">
        <v>761</v>
      </c>
      <c r="F43" s="86">
        <v>0</v>
      </c>
    </row>
    <row r="44" spans="1:6" x14ac:dyDescent="0.35">
      <c r="A44" s="92">
        <v>17</v>
      </c>
      <c r="B44" s="90" t="s">
        <v>73</v>
      </c>
      <c r="C44" s="90" t="s">
        <v>17</v>
      </c>
      <c r="D44" s="90" t="s">
        <v>740</v>
      </c>
      <c r="E44" s="115" t="s">
        <v>762</v>
      </c>
      <c r="F44" s="90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741</v>
      </c>
      <c r="E45" s="117" t="s">
        <v>72</v>
      </c>
      <c r="F45" s="104" t="s">
        <v>66</v>
      </c>
    </row>
    <row r="46" spans="1:6" x14ac:dyDescent="0.35">
      <c r="A46" s="92">
        <v>19</v>
      </c>
      <c r="B46" s="87" t="s">
        <v>136</v>
      </c>
      <c r="C46" s="87" t="s">
        <v>15</v>
      </c>
      <c r="D46" s="97" t="s">
        <v>742</v>
      </c>
      <c r="E46" s="110" t="s">
        <v>72</v>
      </c>
      <c r="F46" s="87" t="s">
        <v>66</v>
      </c>
    </row>
    <row r="47" spans="1:6" x14ac:dyDescent="0.35">
      <c r="A47" s="92">
        <v>20</v>
      </c>
      <c r="B47" s="83" t="s">
        <v>53</v>
      </c>
      <c r="C47" s="83" t="s">
        <v>11</v>
      </c>
      <c r="D47" s="106" t="s">
        <v>743</v>
      </c>
      <c r="E47" s="106" t="s">
        <v>72</v>
      </c>
      <c r="F47" s="83" t="s">
        <v>66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744</v>
      </c>
      <c r="E48" s="107" t="s">
        <v>72</v>
      </c>
      <c r="F48" s="85" t="s">
        <v>66</v>
      </c>
    </row>
    <row r="49" spans="1:6" x14ac:dyDescent="0.35">
      <c r="A49" s="92">
        <v>22</v>
      </c>
      <c r="B49" s="84" t="s">
        <v>55</v>
      </c>
      <c r="C49" s="84" t="s">
        <v>12</v>
      </c>
      <c r="D49" s="96" t="s">
        <v>745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SUMIF($C$28:$C$47,B53,$F$28:$F$47)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18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12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8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2</v>
      </c>
      <c r="D59" s="81"/>
      <c r="E59" s="81"/>
      <c r="F59" s="81"/>
    </row>
    <row r="60" spans="1:6" x14ac:dyDescent="0.35">
      <c r="A60" s="92">
        <v>8</v>
      </c>
      <c r="B60" s="91" t="s">
        <v>18</v>
      </c>
      <c r="C60" s="91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8" t="s">
        <v>20</v>
      </c>
      <c r="C62" s="88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activeCell="A63"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5" t="s">
        <v>50</v>
      </c>
      <c r="C8" s="85" t="s">
        <v>13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  <c r="E9" s="81"/>
      <c r="F9" s="81"/>
    </row>
    <row r="10" spans="1:6" x14ac:dyDescent="0.35">
      <c r="A10" s="92">
        <v>8</v>
      </c>
      <c r="B10" s="91" t="s">
        <v>134</v>
      </c>
      <c r="C10" s="91" t="s">
        <v>18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90" t="s">
        <v>133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87" t="s">
        <v>54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3" t="s">
        <v>53</v>
      </c>
      <c r="C15" s="83" t="s">
        <v>11</v>
      </c>
      <c r="D15" s="28"/>
      <c r="E15" s="81"/>
      <c r="F15" s="81"/>
    </row>
    <row r="16" spans="1:6" x14ac:dyDescent="0.35">
      <c r="A16" s="92">
        <v>14</v>
      </c>
      <c r="B16" s="84" t="s">
        <v>55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8" t="s">
        <v>62</v>
      </c>
      <c r="C17" s="88" t="s">
        <v>20</v>
      </c>
      <c r="D17" s="28"/>
      <c r="E17" s="81"/>
      <c r="F17" s="81"/>
    </row>
    <row r="18" spans="1:6" x14ac:dyDescent="0.35">
      <c r="A18" s="92">
        <v>16</v>
      </c>
      <c r="B18" s="85" t="s">
        <v>56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E19" s="81"/>
      <c r="F19" s="81"/>
    </row>
    <row r="20" spans="1:6" x14ac:dyDescent="0.35">
      <c r="A20" s="92">
        <v>18</v>
      </c>
      <c r="B20" s="89" t="s">
        <v>60</v>
      </c>
      <c r="C20" s="89" t="s">
        <v>16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763</v>
      </c>
      <c r="E28" s="108" t="s">
        <v>785</v>
      </c>
      <c r="F28" s="82">
        <v>8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764</v>
      </c>
      <c r="E29" s="108" t="s">
        <v>786</v>
      </c>
      <c r="F29" s="82">
        <v>7</v>
      </c>
    </row>
    <row r="30" spans="1:6" x14ac:dyDescent="0.35">
      <c r="A30" s="92">
        <v>3</v>
      </c>
      <c r="B30" s="116" t="s">
        <v>63</v>
      </c>
      <c r="C30" s="86" t="s">
        <v>14</v>
      </c>
      <c r="D30" s="100" t="s">
        <v>765</v>
      </c>
      <c r="E30" s="113" t="s">
        <v>787</v>
      </c>
      <c r="F30" s="86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766</v>
      </c>
      <c r="E31" s="106" t="s">
        <v>788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767</v>
      </c>
      <c r="E32" s="113" t="s">
        <v>789</v>
      </c>
      <c r="F32" s="86">
        <v>4</v>
      </c>
    </row>
    <row r="33" spans="1:6" x14ac:dyDescent="0.35">
      <c r="A33" s="92">
        <v>6</v>
      </c>
      <c r="B33" s="104" t="s">
        <v>64</v>
      </c>
      <c r="C33" s="105" t="s">
        <v>19</v>
      </c>
      <c r="D33" s="118" t="s">
        <v>768</v>
      </c>
      <c r="E33" s="117" t="s">
        <v>790</v>
      </c>
      <c r="F33" s="104">
        <v>3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769</v>
      </c>
      <c r="E34" s="115" t="s">
        <v>791</v>
      </c>
      <c r="F34" s="90">
        <v>2</v>
      </c>
    </row>
    <row r="35" spans="1:6" x14ac:dyDescent="0.35">
      <c r="A35" s="92">
        <v>8</v>
      </c>
      <c r="B35" s="83" t="s">
        <v>53</v>
      </c>
      <c r="C35" s="83" t="s">
        <v>11</v>
      </c>
      <c r="D35" s="106" t="s">
        <v>770</v>
      </c>
      <c r="E35" s="106" t="s">
        <v>792</v>
      </c>
      <c r="F35" s="83">
        <v>1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771</v>
      </c>
      <c r="E36" s="110" t="s">
        <v>793</v>
      </c>
      <c r="F36" s="87">
        <v>0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772</v>
      </c>
      <c r="E37" s="107" t="s">
        <v>794</v>
      </c>
      <c r="F37" s="85">
        <v>0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773</v>
      </c>
      <c r="E38" s="114" t="s">
        <v>795</v>
      </c>
      <c r="F38" s="88">
        <v>0</v>
      </c>
    </row>
    <row r="39" spans="1:6" x14ac:dyDescent="0.35">
      <c r="A39" s="92">
        <v>12</v>
      </c>
      <c r="B39" s="90" t="s">
        <v>73</v>
      </c>
      <c r="C39" s="90" t="s">
        <v>17</v>
      </c>
      <c r="D39" s="90" t="s">
        <v>774</v>
      </c>
      <c r="E39" s="115" t="s">
        <v>796</v>
      </c>
      <c r="F39" s="90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775</v>
      </c>
      <c r="E40" s="110" t="s">
        <v>499</v>
      </c>
      <c r="F40" s="87">
        <v>0</v>
      </c>
    </row>
    <row r="41" spans="1:6" x14ac:dyDescent="0.35">
      <c r="A41" s="92">
        <v>14</v>
      </c>
      <c r="B41" s="84" t="s">
        <v>55</v>
      </c>
      <c r="C41" s="84" t="s">
        <v>12</v>
      </c>
      <c r="D41" s="96" t="s">
        <v>776</v>
      </c>
      <c r="E41" s="109" t="s">
        <v>797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777</v>
      </c>
      <c r="E42" s="111" t="s">
        <v>798</v>
      </c>
      <c r="F42" s="91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778</v>
      </c>
      <c r="E43" s="112" t="s">
        <v>799</v>
      </c>
      <c r="F43" s="89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779</v>
      </c>
      <c r="E44" s="111" t="s">
        <v>800</v>
      </c>
      <c r="F44" s="91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780</v>
      </c>
      <c r="E45" s="107" t="s">
        <v>801</v>
      </c>
      <c r="F45" s="85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781</v>
      </c>
      <c r="E46" s="117" t="s">
        <v>802</v>
      </c>
      <c r="F46" s="10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782</v>
      </c>
      <c r="E47" s="114" t="s">
        <v>803</v>
      </c>
      <c r="F47" s="88">
        <v>0</v>
      </c>
    </row>
    <row r="48" spans="1:6" x14ac:dyDescent="0.35">
      <c r="A48" s="92">
        <v>21</v>
      </c>
      <c r="B48" s="89" t="s">
        <v>58</v>
      </c>
      <c r="C48" s="89" t="s">
        <v>16</v>
      </c>
      <c r="D48" s="99" t="s">
        <v>783</v>
      </c>
      <c r="E48" s="112" t="s">
        <v>804</v>
      </c>
      <c r="F48" s="89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784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SUMIF($C$28:$C$46,B53,$F$28:$F$46)</f>
        <v>15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10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 t="shared" si="0"/>
        <v>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2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0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</row>
    <row r="5" spans="1:6" x14ac:dyDescent="0.35">
      <c r="A5" s="92">
        <v>3</v>
      </c>
      <c r="B5" s="83" t="s">
        <v>53</v>
      </c>
      <c r="C5" s="83" t="s">
        <v>11</v>
      </c>
      <c r="D5" s="28"/>
    </row>
    <row r="6" spans="1:6" x14ac:dyDescent="0.35">
      <c r="A6" s="92">
        <v>4</v>
      </c>
      <c r="B6" s="86" t="s">
        <v>59</v>
      </c>
      <c r="C6" s="86" t="s">
        <v>14</v>
      </c>
      <c r="D6" s="28"/>
    </row>
    <row r="7" spans="1:6" x14ac:dyDescent="0.35">
      <c r="A7" s="92">
        <v>5</v>
      </c>
      <c r="B7" s="90" t="s">
        <v>133</v>
      </c>
      <c r="C7" s="90" t="s">
        <v>17</v>
      </c>
      <c r="D7" s="27"/>
    </row>
    <row r="8" spans="1:6" x14ac:dyDescent="0.35">
      <c r="A8" s="92">
        <v>6</v>
      </c>
      <c r="B8" s="82" t="s">
        <v>51</v>
      </c>
      <c r="C8" s="82" t="s">
        <v>21</v>
      </c>
      <c r="D8" s="27"/>
    </row>
    <row r="9" spans="1:6" x14ac:dyDescent="0.35">
      <c r="A9" s="92">
        <v>7</v>
      </c>
      <c r="B9" s="87" t="s">
        <v>54</v>
      </c>
      <c r="C9" s="87" t="s">
        <v>15</v>
      </c>
    </row>
    <row r="10" spans="1:6" x14ac:dyDescent="0.35">
      <c r="A10" s="92">
        <v>8</v>
      </c>
      <c r="B10" s="104" t="s">
        <v>64</v>
      </c>
      <c r="C10" s="105" t="s">
        <v>19</v>
      </c>
      <c r="D10" s="27"/>
    </row>
    <row r="11" spans="1:6" x14ac:dyDescent="0.35">
      <c r="A11" s="92">
        <v>9</v>
      </c>
      <c r="B11" s="90" t="s">
        <v>73</v>
      </c>
      <c r="C11" s="90" t="s">
        <v>17</v>
      </c>
      <c r="D11" s="28"/>
    </row>
    <row r="12" spans="1:6" x14ac:dyDescent="0.35">
      <c r="A12" s="92">
        <v>10</v>
      </c>
      <c r="B12" s="84" t="s">
        <v>55</v>
      </c>
      <c r="C12" s="84" t="s">
        <v>12</v>
      </c>
      <c r="D12" s="28"/>
    </row>
    <row r="13" spans="1:6" x14ac:dyDescent="0.35">
      <c r="A13" s="92">
        <v>11</v>
      </c>
      <c r="B13" s="88" t="s">
        <v>137</v>
      </c>
      <c r="C13" s="88" t="s">
        <v>20</v>
      </c>
      <c r="D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</row>
    <row r="15" spans="1:6" x14ac:dyDescent="0.35">
      <c r="A15" s="92">
        <v>13</v>
      </c>
      <c r="B15" s="87" t="s">
        <v>136</v>
      </c>
      <c r="C15" s="87" t="s">
        <v>15</v>
      </c>
      <c r="D15" s="28"/>
    </row>
    <row r="16" spans="1:6" x14ac:dyDescent="0.35">
      <c r="A16" s="92">
        <v>14</v>
      </c>
      <c r="B16" s="89" t="s">
        <v>58</v>
      </c>
      <c r="C16" s="89" t="s">
        <v>16</v>
      </c>
      <c r="D16" s="27"/>
    </row>
    <row r="17" spans="1:6" x14ac:dyDescent="0.35">
      <c r="A17" s="92">
        <v>15</v>
      </c>
      <c r="B17" s="85" t="s">
        <v>56</v>
      </c>
      <c r="C17" s="85" t="s">
        <v>13</v>
      </c>
      <c r="D17" s="28"/>
    </row>
    <row r="18" spans="1:6" x14ac:dyDescent="0.35">
      <c r="A18" s="92">
        <v>16</v>
      </c>
      <c r="B18" s="84" t="s">
        <v>65</v>
      </c>
      <c r="C18" s="84" t="s">
        <v>12</v>
      </c>
      <c r="D18" s="27"/>
    </row>
    <row r="19" spans="1:6" x14ac:dyDescent="0.35">
      <c r="A19" s="92">
        <v>17</v>
      </c>
      <c r="B19" s="88" t="s">
        <v>62</v>
      </c>
      <c r="C19" s="88" t="s">
        <v>20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</row>
    <row r="21" spans="1:6" x14ac:dyDescent="0.35">
      <c r="A21" s="92">
        <v>19</v>
      </c>
      <c r="B21" s="89" t="s">
        <v>60</v>
      </c>
      <c r="C21" s="89" t="s">
        <v>16</v>
      </c>
      <c r="D21" s="28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50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3" t="s">
        <v>49</v>
      </c>
      <c r="C24" s="83" t="s">
        <v>11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805</v>
      </c>
      <c r="E28" s="108" t="s">
        <v>826</v>
      </c>
      <c r="F28" s="82">
        <v>26</v>
      </c>
    </row>
    <row r="29" spans="1:6" x14ac:dyDescent="0.35">
      <c r="A29" s="92">
        <v>2</v>
      </c>
      <c r="B29" s="82" t="s">
        <v>51</v>
      </c>
      <c r="C29" s="82" t="s">
        <v>21</v>
      </c>
      <c r="D29" s="108" t="s">
        <v>806</v>
      </c>
      <c r="E29" s="108" t="s">
        <v>827</v>
      </c>
      <c r="F29" s="82">
        <v>18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807</v>
      </c>
      <c r="E30" s="115" t="s">
        <v>828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808</v>
      </c>
      <c r="E31" s="113" t="s">
        <v>829</v>
      </c>
      <c r="F31" s="86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809</v>
      </c>
      <c r="E32" s="110" t="s">
        <v>830</v>
      </c>
      <c r="F32" s="87">
        <v>10</v>
      </c>
    </row>
    <row r="33" spans="1:6" x14ac:dyDescent="0.35">
      <c r="A33" s="92">
        <v>6</v>
      </c>
      <c r="B33" s="116" t="s">
        <v>63</v>
      </c>
      <c r="C33" s="86" t="s">
        <v>14</v>
      </c>
      <c r="D33" s="100" t="s">
        <v>810</v>
      </c>
      <c r="E33" s="113" t="s">
        <v>419</v>
      </c>
      <c r="F33" s="86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811</v>
      </c>
      <c r="E34" s="115" t="s">
        <v>831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812</v>
      </c>
      <c r="E35" s="117" t="s">
        <v>832</v>
      </c>
      <c r="F35" s="104">
        <v>4</v>
      </c>
    </row>
    <row r="36" spans="1:6" x14ac:dyDescent="0.35">
      <c r="A36" s="92">
        <v>9</v>
      </c>
      <c r="B36" s="83" t="s">
        <v>53</v>
      </c>
      <c r="C36" s="83" t="s">
        <v>11</v>
      </c>
      <c r="D36" s="106" t="s">
        <v>813</v>
      </c>
      <c r="E36" s="106" t="s">
        <v>833</v>
      </c>
      <c r="F36" s="83">
        <v>2</v>
      </c>
    </row>
    <row r="37" spans="1:6" x14ac:dyDescent="0.35">
      <c r="A37" s="92">
        <v>10</v>
      </c>
      <c r="B37" s="84" t="s">
        <v>55</v>
      </c>
      <c r="C37" s="84" t="s">
        <v>12</v>
      </c>
      <c r="D37" s="96" t="s">
        <v>814</v>
      </c>
      <c r="E37" s="109" t="s">
        <v>834</v>
      </c>
      <c r="F37" s="84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815</v>
      </c>
      <c r="E38" s="111" t="s">
        <v>835</v>
      </c>
      <c r="F38" s="91">
        <v>0</v>
      </c>
    </row>
    <row r="39" spans="1:6" x14ac:dyDescent="0.35">
      <c r="A39" s="92">
        <v>12</v>
      </c>
      <c r="B39" s="85" t="s">
        <v>50</v>
      </c>
      <c r="C39" s="85" t="s">
        <v>13</v>
      </c>
      <c r="D39" s="94" t="s">
        <v>816</v>
      </c>
      <c r="E39" s="107" t="s">
        <v>836</v>
      </c>
      <c r="F39" s="85">
        <v>0</v>
      </c>
    </row>
    <row r="40" spans="1:6" x14ac:dyDescent="0.35">
      <c r="A40" s="92">
        <v>13</v>
      </c>
      <c r="B40" s="83" t="s">
        <v>49</v>
      </c>
      <c r="C40" s="83" t="s">
        <v>11</v>
      </c>
      <c r="D40" s="93" t="s">
        <v>817</v>
      </c>
      <c r="E40" s="106" t="s">
        <v>837</v>
      </c>
      <c r="F40" s="83">
        <v>0</v>
      </c>
    </row>
    <row r="41" spans="1:6" x14ac:dyDescent="0.35">
      <c r="A41" s="92">
        <v>14</v>
      </c>
      <c r="B41" s="88" t="s">
        <v>137</v>
      </c>
      <c r="C41" s="88" t="s">
        <v>20</v>
      </c>
      <c r="D41" s="102" t="s">
        <v>818</v>
      </c>
      <c r="E41" s="114" t="s">
        <v>838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810</v>
      </c>
      <c r="E42" s="112" t="s">
        <v>839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819</v>
      </c>
      <c r="E43" s="107" t="s">
        <v>840</v>
      </c>
      <c r="F43" s="85">
        <v>0</v>
      </c>
    </row>
    <row r="44" spans="1:6" x14ac:dyDescent="0.35">
      <c r="A44" s="92">
        <v>17</v>
      </c>
      <c r="B44" s="87" t="s">
        <v>136</v>
      </c>
      <c r="C44" s="87" t="s">
        <v>15</v>
      </c>
      <c r="D44" s="97" t="s">
        <v>820</v>
      </c>
      <c r="E44" s="110" t="s">
        <v>841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821</v>
      </c>
      <c r="E45" s="117" t="s">
        <v>654</v>
      </c>
      <c r="F45" s="104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822</v>
      </c>
      <c r="E46" s="111" t="s">
        <v>842</v>
      </c>
      <c r="F46" s="91">
        <v>0</v>
      </c>
    </row>
    <row r="47" spans="1:6" x14ac:dyDescent="0.35">
      <c r="A47" s="92">
        <v>20</v>
      </c>
      <c r="B47" s="89" t="s">
        <v>60</v>
      </c>
      <c r="C47" s="89" t="s">
        <v>16</v>
      </c>
      <c r="D47" s="99" t="s">
        <v>823</v>
      </c>
      <c r="E47" s="112" t="s">
        <v>843</v>
      </c>
      <c r="F47" s="89">
        <v>0</v>
      </c>
    </row>
    <row r="48" spans="1:6" x14ac:dyDescent="0.35">
      <c r="A48" s="92">
        <v>21</v>
      </c>
      <c r="B48" s="84" t="s">
        <v>65</v>
      </c>
      <c r="C48" s="84" t="s">
        <v>12</v>
      </c>
      <c r="D48" s="96" t="s">
        <v>824</v>
      </c>
      <c r="E48" s="109" t="s">
        <v>844</v>
      </c>
      <c r="F48" s="84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825</v>
      </c>
      <c r="E49" s="114" t="s">
        <v>845</v>
      </c>
      <c r="F49" s="88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SUMIF($C$28:$C$45,B53,$F$28:$F$45)</f>
        <v>44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 t="shared" si="0"/>
        <v>21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105" t="s">
        <v>19</v>
      </c>
      <c r="C57" s="105">
        <f t="shared" si="0"/>
        <v>4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2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3" t="s">
        <v>49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3" t="s">
        <v>53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2" t="s">
        <v>51</v>
      </c>
      <c r="C7" s="82" t="s">
        <v>21</v>
      </c>
      <c r="D7" s="27"/>
      <c r="E7" s="81"/>
      <c r="F7" s="81"/>
    </row>
    <row r="8" spans="1:6" x14ac:dyDescent="0.35">
      <c r="A8" s="92">
        <v>6</v>
      </c>
      <c r="B8" s="86" t="s">
        <v>59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9" t="s">
        <v>58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60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134</v>
      </c>
      <c r="C17" s="91" t="s">
        <v>18</v>
      </c>
      <c r="D17" s="28"/>
    </row>
    <row r="18" spans="1:6" x14ac:dyDescent="0.35">
      <c r="A18" s="92">
        <v>16</v>
      </c>
      <c r="B18" s="104" t="s">
        <v>135</v>
      </c>
      <c r="C18" s="105" t="s">
        <v>19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85" t="s">
        <v>50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90" t="s">
        <v>133</v>
      </c>
      <c r="C24" s="90" t="s">
        <v>17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08" t="s">
        <v>846</v>
      </c>
      <c r="E28" s="108" t="s">
        <v>868</v>
      </c>
      <c r="F28" s="82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100" t="s">
        <v>847</v>
      </c>
      <c r="E29" s="113" t="s">
        <v>869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108" t="s">
        <v>848</v>
      </c>
      <c r="E30" s="108" t="s">
        <v>870</v>
      </c>
      <c r="F30" s="82">
        <v>15</v>
      </c>
    </row>
    <row r="31" spans="1:6" x14ac:dyDescent="0.35">
      <c r="A31" s="92">
        <v>4</v>
      </c>
      <c r="B31" s="83" t="s">
        <v>53</v>
      </c>
      <c r="C31" s="83" t="s">
        <v>11</v>
      </c>
      <c r="D31" s="25" t="s">
        <v>849</v>
      </c>
      <c r="E31" s="106" t="s">
        <v>871</v>
      </c>
      <c r="F31" s="83">
        <v>13</v>
      </c>
    </row>
    <row r="32" spans="1:6" x14ac:dyDescent="0.35">
      <c r="A32" s="92">
        <v>5</v>
      </c>
      <c r="B32" s="83" t="s">
        <v>49</v>
      </c>
      <c r="C32" s="83" t="s">
        <v>11</v>
      </c>
      <c r="D32" s="93" t="s">
        <v>850</v>
      </c>
      <c r="E32" s="106" t="s">
        <v>872</v>
      </c>
      <c r="F32" s="83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851</v>
      </c>
      <c r="E33" s="110" t="s">
        <v>873</v>
      </c>
      <c r="F33" s="87">
        <v>8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852</v>
      </c>
      <c r="E34" s="115" t="s">
        <v>874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853</v>
      </c>
      <c r="E35" s="117" t="s">
        <v>875</v>
      </c>
      <c r="F35" s="104">
        <v>4</v>
      </c>
    </row>
    <row r="36" spans="1:6" x14ac:dyDescent="0.35">
      <c r="A36" s="92">
        <v>9</v>
      </c>
      <c r="B36" s="87" t="s">
        <v>136</v>
      </c>
      <c r="C36" s="87" t="s">
        <v>15</v>
      </c>
      <c r="D36" s="97" t="s">
        <v>854</v>
      </c>
      <c r="E36" s="110" t="s">
        <v>876</v>
      </c>
      <c r="F36" s="87">
        <v>2</v>
      </c>
    </row>
    <row r="37" spans="1:6" x14ac:dyDescent="0.35">
      <c r="A37" s="92">
        <v>10</v>
      </c>
      <c r="B37" s="90" t="s">
        <v>73</v>
      </c>
      <c r="C37" s="90" t="s">
        <v>17</v>
      </c>
      <c r="D37" s="90" t="s">
        <v>855</v>
      </c>
      <c r="E37" s="115" t="s">
        <v>877</v>
      </c>
      <c r="F37" s="90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856</v>
      </c>
      <c r="E38" s="112" t="s">
        <v>878</v>
      </c>
      <c r="F38" s="89">
        <v>0</v>
      </c>
    </row>
    <row r="39" spans="1:6" x14ac:dyDescent="0.35">
      <c r="A39" s="92">
        <v>12</v>
      </c>
      <c r="B39" s="84" t="s">
        <v>55</v>
      </c>
      <c r="C39" s="84" t="s">
        <v>12</v>
      </c>
      <c r="D39" s="96" t="s">
        <v>857</v>
      </c>
      <c r="E39" s="109" t="s">
        <v>225</v>
      </c>
      <c r="F39" s="84">
        <v>0</v>
      </c>
    </row>
    <row r="40" spans="1:6" x14ac:dyDescent="0.35">
      <c r="A40" s="92">
        <v>13</v>
      </c>
      <c r="B40" s="116" t="s">
        <v>63</v>
      </c>
      <c r="C40" s="86" t="s">
        <v>14</v>
      </c>
      <c r="D40" s="100" t="s">
        <v>858</v>
      </c>
      <c r="E40" s="113" t="s">
        <v>879</v>
      </c>
      <c r="F40" s="86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859</v>
      </c>
      <c r="E41" s="111" t="s">
        <v>880</v>
      </c>
      <c r="F41" s="91">
        <v>0</v>
      </c>
    </row>
    <row r="42" spans="1:6" x14ac:dyDescent="0.35">
      <c r="A42" s="92">
        <v>15</v>
      </c>
      <c r="B42" s="85" t="s">
        <v>50</v>
      </c>
      <c r="C42" s="85" t="s">
        <v>13</v>
      </c>
      <c r="D42" s="94" t="s">
        <v>860</v>
      </c>
      <c r="E42" s="107" t="s">
        <v>881</v>
      </c>
      <c r="F42" s="85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861</v>
      </c>
      <c r="E43" s="114" t="s">
        <v>882</v>
      </c>
      <c r="F43" s="88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862</v>
      </c>
      <c r="E44" s="114" t="s">
        <v>883</v>
      </c>
      <c r="F44" s="88">
        <v>0</v>
      </c>
    </row>
    <row r="45" spans="1:6" x14ac:dyDescent="0.35">
      <c r="A45" s="92">
        <v>18</v>
      </c>
      <c r="B45" s="89" t="s">
        <v>58</v>
      </c>
      <c r="C45" s="89" t="s">
        <v>16</v>
      </c>
      <c r="D45" s="99" t="s">
        <v>863</v>
      </c>
      <c r="E45" s="112" t="s">
        <v>884</v>
      </c>
      <c r="F45" s="89">
        <v>0</v>
      </c>
    </row>
    <row r="46" spans="1:6" x14ac:dyDescent="0.35">
      <c r="A46" s="92">
        <v>19</v>
      </c>
      <c r="B46" s="91" t="s">
        <v>57</v>
      </c>
      <c r="C46" s="91" t="s">
        <v>18</v>
      </c>
      <c r="D46" s="98" t="s">
        <v>864</v>
      </c>
      <c r="E46" s="111" t="s">
        <v>885</v>
      </c>
      <c r="F46" s="91">
        <v>0</v>
      </c>
    </row>
    <row r="47" spans="1:6" x14ac:dyDescent="0.35">
      <c r="A47" s="92">
        <v>20</v>
      </c>
      <c r="B47" s="104" t="s">
        <v>135</v>
      </c>
      <c r="C47" s="105" t="s">
        <v>19</v>
      </c>
      <c r="D47" s="118" t="s">
        <v>865</v>
      </c>
      <c r="E47" s="117" t="s">
        <v>71</v>
      </c>
      <c r="F47" s="104">
        <v>0</v>
      </c>
    </row>
    <row r="48" spans="1:6" x14ac:dyDescent="0.35">
      <c r="A48" s="92">
        <v>21</v>
      </c>
      <c r="B48" s="85" t="s">
        <v>56</v>
      </c>
      <c r="C48" s="85" t="s">
        <v>13</v>
      </c>
      <c r="D48" s="94" t="s">
        <v>866</v>
      </c>
      <c r="E48" s="107" t="s">
        <v>615</v>
      </c>
      <c r="F48" s="85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867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23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18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7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topLeftCell="A38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2" t="s">
        <v>51</v>
      </c>
      <c r="C5" s="82" t="s">
        <v>21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04" t="s">
        <v>64</v>
      </c>
      <c r="C7" s="105" t="s">
        <v>19</v>
      </c>
      <c r="D7" s="27"/>
      <c r="E7" s="81"/>
      <c r="F7" s="81"/>
    </row>
    <row r="8" spans="1:6" x14ac:dyDescent="0.35">
      <c r="A8" s="92">
        <v>6</v>
      </c>
      <c r="B8" s="90" t="s">
        <v>133</v>
      </c>
      <c r="C8" s="90" t="s">
        <v>17</v>
      </c>
      <c r="D8" s="27"/>
      <c r="E8" s="81"/>
      <c r="F8" s="81"/>
    </row>
    <row r="9" spans="1:6" x14ac:dyDescent="0.35">
      <c r="A9" s="92">
        <v>7</v>
      </c>
      <c r="B9" s="87" t="s">
        <v>54</v>
      </c>
      <c r="C9" s="87" t="s">
        <v>15</v>
      </c>
      <c r="D9" s="81"/>
      <c r="E9" s="81"/>
      <c r="F9" s="81"/>
    </row>
    <row r="10" spans="1:6" x14ac:dyDescent="0.35">
      <c r="A10" s="92">
        <v>8</v>
      </c>
      <c r="B10" s="83" t="s">
        <v>49</v>
      </c>
      <c r="C10" s="83" t="s">
        <v>11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90" t="s">
        <v>73</v>
      </c>
      <c r="C12" s="90" t="s">
        <v>17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9" t="s">
        <v>60</v>
      </c>
      <c r="C15" s="89" t="s">
        <v>16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5" t="s">
        <v>50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894</v>
      </c>
      <c r="E28" s="108" t="s">
        <v>886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895</v>
      </c>
      <c r="E29" s="113" t="s">
        <v>887</v>
      </c>
      <c r="F29" s="86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896</v>
      </c>
      <c r="E30" s="108" t="s">
        <v>888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897</v>
      </c>
      <c r="E31" s="113" t="s">
        <v>889</v>
      </c>
      <c r="F31" s="86">
        <v>12</v>
      </c>
    </row>
    <row r="32" spans="1:6" x14ac:dyDescent="0.35">
      <c r="A32" s="92">
        <v>5</v>
      </c>
      <c r="B32" s="90" t="s">
        <v>133</v>
      </c>
      <c r="C32" s="90" t="s">
        <v>17</v>
      </c>
      <c r="D32" s="103" t="s">
        <v>898</v>
      </c>
      <c r="E32" s="115" t="s">
        <v>890</v>
      </c>
      <c r="F32" s="90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899</v>
      </c>
      <c r="E33" s="110" t="s">
        <v>891</v>
      </c>
      <c r="F33" s="87">
        <v>8</v>
      </c>
    </row>
    <row r="34" spans="1:6" x14ac:dyDescent="0.35">
      <c r="A34" s="92">
        <v>7</v>
      </c>
      <c r="B34" s="83" t="s">
        <v>49</v>
      </c>
      <c r="C34" s="83" t="s">
        <v>11</v>
      </c>
      <c r="D34" s="93" t="s">
        <v>900</v>
      </c>
      <c r="E34" s="106" t="s">
        <v>892</v>
      </c>
      <c r="F34" s="83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901</v>
      </c>
      <c r="E35" s="117" t="s">
        <v>893</v>
      </c>
      <c r="F35" s="104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902</v>
      </c>
      <c r="E36" s="112" t="s">
        <v>71</v>
      </c>
      <c r="F36" s="89">
        <v>2</v>
      </c>
    </row>
    <row r="37" spans="1:6" x14ac:dyDescent="0.35">
      <c r="A37" s="92">
        <v>10</v>
      </c>
      <c r="B37" s="88" t="s">
        <v>62</v>
      </c>
      <c r="C37" s="88" t="s">
        <v>20</v>
      </c>
      <c r="D37" s="102" t="s">
        <v>903</v>
      </c>
      <c r="E37" s="114" t="s">
        <v>71</v>
      </c>
      <c r="F37" s="88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904</v>
      </c>
      <c r="E38" s="112" t="s">
        <v>71</v>
      </c>
      <c r="F38" s="89">
        <v>0</v>
      </c>
    </row>
    <row r="39" spans="1:6" x14ac:dyDescent="0.35">
      <c r="A39" s="92">
        <v>12</v>
      </c>
      <c r="B39" s="85" t="s">
        <v>56</v>
      </c>
      <c r="C39" s="85" t="s">
        <v>13</v>
      </c>
      <c r="D39" s="94" t="s">
        <v>905</v>
      </c>
      <c r="E39" s="107" t="s">
        <v>71</v>
      </c>
      <c r="F39" s="85">
        <v>0</v>
      </c>
    </row>
    <row r="40" spans="1:6" x14ac:dyDescent="0.35">
      <c r="A40" s="92">
        <v>13</v>
      </c>
      <c r="B40" s="90" t="s">
        <v>73</v>
      </c>
      <c r="C40" s="90" t="s">
        <v>17</v>
      </c>
      <c r="D40" s="90" t="s">
        <v>906</v>
      </c>
      <c r="E40" s="115" t="s">
        <v>71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907</v>
      </c>
      <c r="E41" s="109" t="s">
        <v>71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908</v>
      </c>
      <c r="E42" s="111" t="s">
        <v>71</v>
      </c>
      <c r="F42" s="91">
        <v>0</v>
      </c>
    </row>
    <row r="43" spans="1:6" x14ac:dyDescent="0.35">
      <c r="A43" s="92">
        <v>16</v>
      </c>
      <c r="B43" s="85" t="s">
        <v>50</v>
      </c>
      <c r="C43" s="85" t="s">
        <v>13</v>
      </c>
      <c r="D43" s="94" t="s">
        <v>909</v>
      </c>
      <c r="E43" s="107" t="s">
        <v>71</v>
      </c>
      <c r="F43" s="85">
        <v>0</v>
      </c>
    </row>
    <row r="44" spans="1:6" x14ac:dyDescent="0.35">
      <c r="A44" s="92">
        <v>17</v>
      </c>
      <c r="B44" s="83" t="s">
        <v>53</v>
      </c>
      <c r="C44" s="83" t="s">
        <v>11</v>
      </c>
      <c r="D44" s="93" t="s">
        <v>910</v>
      </c>
      <c r="E44" s="106" t="s">
        <v>71</v>
      </c>
      <c r="F44" s="83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911</v>
      </c>
      <c r="E45" s="117" t="s">
        <v>71</v>
      </c>
      <c r="F45" s="104">
        <v>0</v>
      </c>
    </row>
    <row r="46" spans="1:6" x14ac:dyDescent="0.35">
      <c r="A46" s="92">
        <v>19</v>
      </c>
      <c r="B46" s="88" t="s">
        <v>137</v>
      </c>
      <c r="C46" s="88" t="s">
        <v>20</v>
      </c>
      <c r="D46" s="102" t="s">
        <v>912</v>
      </c>
      <c r="E46" s="114" t="s">
        <v>71</v>
      </c>
      <c r="F46" s="88">
        <v>0</v>
      </c>
    </row>
    <row r="47" spans="1:6" x14ac:dyDescent="0.35">
      <c r="A47" s="92">
        <v>20</v>
      </c>
      <c r="B47" s="84" t="s">
        <v>55</v>
      </c>
      <c r="C47" s="84" t="s">
        <v>12</v>
      </c>
      <c r="D47" s="96" t="s">
        <v>913</v>
      </c>
      <c r="E47" s="109" t="s">
        <v>71</v>
      </c>
      <c r="F47" s="84">
        <v>0</v>
      </c>
    </row>
    <row r="48" spans="1:6" x14ac:dyDescent="0.35">
      <c r="A48" s="92">
        <v>21</v>
      </c>
      <c r="B48" s="87" t="s">
        <v>136</v>
      </c>
      <c r="C48" s="87" t="s">
        <v>15</v>
      </c>
      <c r="D48" s="97" t="s">
        <v>914</v>
      </c>
      <c r="E48" s="110" t="s">
        <v>72</v>
      </c>
      <c r="F48" s="87" t="s">
        <v>66</v>
      </c>
    </row>
    <row r="49" spans="1:6" x14ac:dyDescent="0.35">
      <c r="A49" s="92">
        <v>22</v>
      </c>
      <c r="B49" s="91" t="s">
        <v>57</v>
      </c>
      <c r="C49" s="91" t="s">
        <v>18</v>
      </c>
      <c r="D49" s="98" t="s">
        <v>915</v>
      </c>
      <c r="E49" s="111" t="s">
        <v>72</v>
      </c>
      <c r="F49" s="91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30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8</v>
      </c>
      <c r="D56" s="81"/>
      <c r="E56" s="81"/>
      <c r="F56" s="81"/>
    </row>
    <row r="57" spans="1:6" x14ac:dyDescent="0.35">
      <c r="A57" s="92">
        <v>5</v>
      </c>
      <c r="B57" s="83" t="s">
        <v>11</v>
      </c>
      <c r="C57" s="83">
        <f t="shared" si="0"/>
        <v>6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2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27"/>
      <c r="E4" s="81"/>
      <c r="F4" s="81"/>
    </row>
    <row r="5" spans="1:6" x14ac:dyDescent="0.35">
      <c r="A5" s="92">
        <v>3</v>
      </c>
      <c r="B5" s="85" t="s">
        <v>56</v>
      </c>
      <c r="C5" s="85" t="s">
        <v>13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5" t="s">
        <v>50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60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91" t="s">
        <v>134</v>
      </c>
      <c r="C12" s="91" t="s">
        <v>18</v>
      </c>
      <c r="D12" s="28"/>
      <c r="E12" s="81"/>
      <c r="F12" s="81"/>
    </row>
    <row r="13" spans="1:6" x14ac:dyDescent="0.35">
      <c r="A13" s="92">
        <v>11</v>
      </c>
      <c r="B13" s="87" t="s">
        <v>136</v>
      </c>
      <c r="C13" s="87" t="s">
        <v>15</v>
      </c>
      <c r="D13" s="81"/>
      <c r="E13" s="81"/>
      <c r="F13" s="81"/>
    </row>
    <row r="14" spans="1:6" x14ac:dyDescent="0.35">
      <c r="A14" s="92">
        <v>12</v>
      </c>
      <c r="B14" s="82" t="s">
        <v>51</v>
      </c>
      <c r="C14" s="82" t="s">
        <v>21</v>
      </c>
      <c r="D14" s="28"/>
      <c r="E14" s="81"/>
      <c r="F14" s="81"/>
    </row>
    <row r="15" spans="1:6" x14ac:dyDescent="0.35">
      <c r="A15" s="92">
        <v>13</v>
      </c>
      <c r="B15" s="90" t="s">
        <v>73</v>
      </c>
      <c r="C15" s="90" t="s">
        <v>17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3" t="s">
        <v>53</v>
      </c>
      <c r="C18" s="83" t="s">
        <v>11</v>
      </c>
      <c r="D18" s="27"/>
      <c r="E18" s="81"/>
      <c r="F18" s="81"/>
    </row>
    <row r="19" spans="1:6" x14ac:dyDescent="0.35">
      <c r="A19" s="92">
        <v>17</v>
      </c>
      <c r="B19" s="89" t="s">
        <v>58</v>
      </c>
      <c r="C19" s="89" t="s">
        <v>16</v>
      </c>
      <c r="D19" s="81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62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108" t="s">
        <v>916</v>
      </c>
      <c r="E28" s="108" t="s">
        <v>938</v>
      </c>
      <c r="F28" s="82">
        <v>25</v>
      </c>
    </row>
    <row r="29" spans="1:6" x14ac:dyDescent="0.35">
      <c r="A29" s="92">
        <v>2</v>
      </c>
      <c r="B29" s="82" t="s">
        <v>51</v>
      </c>
      <c r="C29" s="82" t="s">
        <v>21</v>
      </c>
      <c r="D29" s="25" t="s">
        <v>917</v>
      </c>
      <c r="E29" s="108" t="s">
        <v>939</v>
      </c>
      <c r="F29" s="82">
        <v>19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918</v>
      </c>
      <c r="E30" s="115" t="s">
        <v>940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919</v>
      </c>
      <c r="E31" s="113" t="s">
        <v>941</v>
      </c>
      <c r="F31" s="86">
        <v>12</v>
      </c>
    </row>
    <row r="32" spans="1:6" x14ac:dyDescent="0.35">
      <c r="A32" s="92">
        <v>5</v>
      </c>
      <c r="B32" s="116" t="s">
        <v>63</v>
      </c>
      <c r="C32" s="86" t="s">
        <v>14</v>
      </c>
      <c r="D32" s="100" t="s">
        <v>920</v>
      </c>
      <c r="E32" s="113" t="s">
        <v>721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921</v>
      </c>
      <c r="E33" s="106" t="s">
        <v>942</v>
      </c>
      <c r="F33" s="83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922</v>
      </c>
      <c r="E34" s="115" t="s">
        <v>943</v>
      </c>
      <c r="F34" s="90">
        <v>6</v>
      </c>
    </row>
    <row r="35" spans="1:6" x14ac:dyDescent="0.35">
      <c r="A35" s="92">
        <v>8</v>
      </c>
      <c r="B35" s="85" t="s">
        <v>56</v>
      </c>
      <c r="C35" s="85" t="s">
        <v>13</v>
      </c>
      <c r="D35" s="94" t="s">
        <v>923</v>
      </c>
      <c r="E35" s="107" t="s">
        <v>944</v>
      </c>
      <c r="F35" s="85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924</v>
      </c>
      <c r="E36" s="112" t="s">
        <v>945</v>
      </c>
      <c r="F36" s="89">
        <v>2</v>
      </c>
    </row>
    <row r="37" spans="1:6" x14ac:dyDescent="0.35">
      <c r="A37" s="92">
        <v>10</v>
      </c>
      <c r="B37" s="85" t="s">
        <v>50</v>
      </c>
      <c r="C37" s="85" t="s">
        <v>13</v>
      </c>
      <c r="D37" s="94" t="s">
        <v>925</v>
      </c>
      <c r="E37" s="107" t="s">
        <v>946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926</v>
      </c>
      <c r="E38" s="112" t="s">
        <v>947</v>
      </c>
      <c r="F38" s="89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927</v>
      </c>
      <c r="E39" s="110" t="s">
        <v>948</v>
      </c>
      <c r="F39" s="87">
        <v>0</v>
      </c>
    </row>
    <row r="40" spans="1:6" x14ac:dyDescent="0.35">
      <c r="A40" s="92">
        <v>13</v>
      </c>
      <c r="B40" s="104" t="s">
        <v>135</v>
      </c>
      <c r="C40" s="105" t="s">
        <v>19</v>
      </c>
      <c r="D40" s="118" t="s">
        <v>928</v>
      </c>
      <c r="E40" s="117" t="s">
        <v>949</v>
      </c>
      <c r="F40" s="104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929</v>
      </c>
      <c r="E41" s="111" t="s">
        <v>226</v>
      </c>
      <c r="F41" s="91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930</v>
      </c>
      <c r="E42" s="111" t="s">
        <v>950</v>
      </c>
      <c r="F42" s="91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931</v>
      </c>
      <c r="E43" s="114" t="s">
        <v>951</v>
      </c>
      <c r="F43" s="88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932</v>
      </c>
      <c r="E44" s="109" t="s">
        <v>952</v>
      </c>
      <c r="F44" s="84">
        <v>0</v>
      </c>
    </row>
    <row r="45" spans="1:6" x14ac:dyDescent="0.35">
      <c r="A45" s="92">
        <v>18</v>
      </c>
      <c r="B45" s="83" t="s">
        <v>49</v>
      </c>
      <c r="C45" s="83" t="s">
        <v>11</v>
      </c>
      <c r="D45" s="93" t="s">
        <v>933</v>
      </c>
      <c r="E45" s="106" t="s">
        <v>953</v>
      </c>
      <c r="F45" s="83">
        <v>0</v>
      </c>
    </row>
    <row r="46" spans="1:6" x14ac:dyDescent="0.35">
      <c r="A46" s="92">
        <v>19</v>
      </c>
      <c r="B46" s="84" t="s">
        <v>55</v>
      </c>
      <c r="C46" s="84" t="s">
        <v>12</v>
      </c>
      <c r="D46" s="96" t="s">
        <v>934</v>
      </c>
      <c r="E46" s="109" t="s">
        <v>954</v>
      </c>
      <c r="F46" s="8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935</v>
      </c>
      <c r="E47" s="114" t="s">
        <v>955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936</v>
      </c>
      <c r="E48" s="117" t="s">
        <v>72</v>
      </c>
      <c r="F48" s="104" t="s">
        <v>66</v>
      </c>
    </row>
    <row r="49" spans="1:6" x14ac:dyDescent="0.35">
      <c r="A49" s="92">
        <v>22</v>
      </c>
      <c r="B49" s="87" t="s">
        <v>54</v>
      </c>
      <c r="C49" s="87" t="s">
        <v>15</v>
      </c>
      <c r="D49" s="97" t="s">
        <v>937</v>
      </c>
      <c r="E49" s="110" t="s">
        <v>72</v>
      </c>
      <c r="F49" s="87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>SUMIF($C$28:$C$48,B54,$F$28:$F$48)</f>
        <v>22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>SUMIF($C$28:$C$48,B55,$F$28:$F$48)</f>
        <v>21</v>
      </c>
      <c r="D55" s="81"/>
      <c r="E55" s="81"/>
      <c r="F55" s="81"/>
    </row>
    <row r="56" spans="1:6" x14ac:dyDescent="0.35">
      <c r="A56" s="92">
        <v>4</v>
      </c>
      <c r="B56" s="83" t="s">
        <v>11</v>
      </c>
      <c r="C56" s="83">
        <f>SUMIF($C$28:$C$48,B56,$F$28:$F$48)</f>
        <v>8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>SUMIF($C$28:$C$48,B57,$F$28:$F$48)</f>
        <v>5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>SUMIF($C$28:$C$48,B58,$F$28:$F$48)</f>
        <v>2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>SUMIF($C$28:$C$48,B59,$F$28:$F$48)</f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>SUMIF($C$28:$C$48,B60,$F$28:$F$48)</f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>SUMIF($C$28:$C$48,B61,$F$28:$F$48)</f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>SUMIF($C$28:$C$48,B62,$F$28:$F$48)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SUMIF($C$28:$C$48,B63,$F$28:$F$48)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tabSelected="1" topLeftCell="A37" zoomScale="130" zoomScaleNormal="130" workbookViewId="0">
      <selection activeCell="J49" sqref="J49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116" t="s">
        <v>63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90" t="s">
        <v>133</v>
      </c>
      <c r="C7" s="90" t="s">
        <v>17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2" t="s">
        <v>51</v>
      </c>
      <c r="C9" s="82" t="s">
        <v>21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5" t="s">
        <v>50</v>
      </c>
      <c r="C11" s="85" t="s">
        <v>13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  <c r="E14" s="81"/>
      <c r="F14" s="81"/>
    </row>
    <row r="15" spans="1:6" x14ac:dyDescent="0.35">
      <c r="A15" s="92">
        <v>13</v>
      </c>
      <c r="B15" s="84" t="s">
        <v>65</v>
      </c>
      <c r="C15" s="84" t="s">
        <v>12</v>
      </c>
      <c r="D15" s="28"/>
      <c r="E15" s="81"/>
      <c r="F15" s="81"/>
    </row>
    <row r="16" spans="1:6" x14ac:dyDescent="0.35">
      <c r="A16" s="92">
        <v>14</v>
      </c>
      <c r="B16" s="90" t="s">
        <v>73</v>
      </c>
      <c r="C16" s="90" t="s">
        <v>17</v>
      </c>
      <c r="D16" s="27"/>
      <c r="E16" s="81"/>
      <c r="F16" s="81"/>
    </row>
    <row r="17" spans="1:6" x14ac:dyDescent="0.35">
      <c r="A17" s="92">
        <v>15</v>
      </c>
      <c r="B17" s="83" t="s">
        <v>49</v>
      </c>
      <c r="C17" s="83" t="s">
        <v>11</v>
      </c>
      <c r="D17" s="28"/>
      <c r="E17" s="81"/>
      <c r="F17" s="81"/>
    </row>
    <row r="18" spans="1:6" x14ac:dyDescent="0.35">
      <c r="A18" s="92">
        <v>16</v>
      </c>
      <c r="B18" s="89" t="s">
        <v>60</v>
      </c>
      <c r="C18" s="89" t="s">
        <v>16</v>
      </c>
      <c r="D18" s="27"/>
      <c r="E18" s="81"/>
      <c r="F18" s="81"/>
    </row>
    <row r="19" spans="1:6" x14ac:dyDescent="0.35">
      <c r="A19" s="92">
        <v>17</v>
      </c>
      <c r="B19" s="104" t="s">
        <v>64</v>
      </c>
      <c r="C19" s="105" t="s">
        <v>19</v>
      </c>
      <c r="D19" s="81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7" t="s">
        <v>54</v>
      </c>
      <c r="C21" s="87" t="s">
        <v>15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3" t="s">
        <v>49</v>
      </c>
      <c r="C28" s="83" t="s">
        <v>11</v>
      </c>
      <c r="D28" s="93" t="s">
        <v>956</v>
      </c>
      <c r="E28" s="106" t="s">
        <v>978</v>
      </c>
      <c r="F28" s="83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25" t="s">
        <v>957</v>
      </c>
      <c r="E29" s="113" t="s">
        <v>385</v>
      </c>
      <c r="F29" s="86">
        <v>19</v>
      </c>
    </row>
    <row r="30" spans="1:6" x14ac:dyDescent="0.35">
      <c r="A30" s="92">
        <v>3</v>
      </c>
      <c r="B30" s="90" t="s">
        <v>73</v>
      </c>
      <c r="C30" s="90" t="s">
        <v>17</v>
      </c>
      <c r="D30" s="90" t="s">
        <v>958</v>
      </c>
      <c r="E30" s="115" t="s">
        <v>979</v>
      </c>
      <c r="F30" s="90">
        <v>15</v>
      </c>
    </row>
    <row r="31" spans="1:6" x14ac:dyDescent="0.35">
      <c r="A31" s="92">
        <v>4</v>
      </c>
      <c r="B31" s="82" t="s">
        <v>51</v>
      </c>
      <c r="C31" s="82" t="s">
        <v>21</v>
      </c>
      <c r="D31" s="108" t="s">
        <v>959</v>
      </c>
      <c r="E31" s="108" t="s">
        <v>980</v>
      </c>
      <c r="F31" s="82">
        <v>12</v>
      </c>
    </row>
    <row r="32" spans="1:6" x14ac:dyDescent="0.35">
      <c r="A32" s="92">
        <v>5</v>
      </c>
      <c r="B32" s="85" t="s">
        <v>56</v>
      </c>
      <c r="C32" s="85" t="s">
        <v>13</v>
      </c>
      <c r="D32" s="94" t="s">
        <v>960</v>
      </c>
      <c r="E32" s="107" t="s">
        <v>981</v>
      </c>
      <c r="F32" s="85">
        <v>10</v>
      </c>
    </row>
    <row r="33" spans="1:6" x14ac:dyDescent="0.35">
      <c r="A33" s="92">
        <v>6</v>
      </c>
      <c r="B33" s="89" t="s">
        <v>58</v>
      </c>
      <c r="C33" s="89" t="s">
        <v>16</v>
      </c>
      <c r="D33" s="99" t="s">
        <v>961</v>
      </c>
      <c r="E33" s="112" t="s">
        <v>982</v>
      </c>
      <c r="F33" s="89">
        <v>8</v>
      </c>
    </row>
    <row r="34" spans="1:6" x14ac:dyDescent="0.35">
      <c r="A34" s="92">
        <v>7</v>
      </c>
      <c r="B34" s="87" t="s">
        <v>54</v>
      </c>
      <c r="C34" s="87" t="s">
        <v>15</v>
      </c>
      <c r="D34" s="97" t="s">
        <v>962</v>
      </c>
      <c r="E34" s="110" t="s">
        <v>983</v>
      </c>
      <c r="F34" s="87">
        <v>6</v>
      </c>
    </row>
    <row r="35" spans="1:6" x14ac:dyDescent="0.35">
      <c r="A35" s="92">
        <v>8</v>
      </c>
      <c r="B35" s="88" t="s">
        <v>62</v>
      </c>
      <c r="C35" s="88" t="s">
        <v>20</v>
      </c>
      <c r="D35" s="102" t="s">
        <v>963</v>
      </c>
      <c r="E35" s="114" t="s">
        <v>984</v>
      </c>
      <c r="F35" s="88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964</v>
      </c>
      <c r="E36" s="112" t="s">
        <v>985</v>
      </c>
      <c r="F36" s="89">
        <v>2</v>
      </c>
    </row>
    <row r="37" spans="1:6" x14ac:dyDescent="0.35">
      <c r="A37" s="92">
        <v>10</v>
      </c>
      <c r="B37" s="84" t="s">
        <v>65</v>
      </c>
      <c r="C37" s="84" t="s">
        <v>12</v>
      </c>
      <c r="D37" s="96" t="s">
        <v>965</v>
      </c>
      <c r="E37" s="109" t="s">
        <v>986</v>
      </c>
      <c r="F37" s="84">
        <v>1</v>
      </c>
    </row>
    <row r="38" spans="1:6" x14ac:dyDescent="0.35">
      <c r="A38" s="92">
        <v>11</v>
      </c>
      <c r="B38" s="87" t="s">
        <v>136</v>
      </c>
      <c r="C38" s="87" t="s">
        <v>15</v>
      </c>
      <c r="D38" s="97" t="s">
        <v>966</v>
      </c>
      <c r="E38" s="110" t="s">
        <v>421</v>
      </c>
      <c r="F38" s="87">
        <v>0</v>
      </c>
    </row>
    <row r="39" spans="1:6" x14ac:dyDescent="0.35">
      <c r="A39" s="92">
        <v>12</v>
      </c>
      <c r="B39" s="90" t="s">
        <v>133</v>
      </c>
      <c r="C39" s="90" t="s">
        <v>17</v>
      </c>
      <c r="D39" s="103" t="s">
        <v>967</v>
      </c>
      <c r="E39" s="115" t="s">
        <v>987</v>
      </c>
      <c r="F39" s="90">
        <v>0</v>
      </c>
    </row>
    <row r="40" spans="1:6" x14ac:dyDescent="0.35">
      <c r="A40" s="92">
        <v>13</v>
      </c>
      <c r="B40" s="91" t="s">
        <v>134</v>
      </c>
      <c r="C40" s="91" t="s">
        <v>18</v>
      </c>
      <c r="D40" s="98" t="s">
        <v>968</v>
      </c>
      <c r="E40" s="111" t="s">
        <v>988</v>
      </c>
      <c r="F40" s="91">
        <v>0</v>
      </c>
    </row>
    <row r="41" spans="1:6" x14ac:dyDescent="0.35">
      <c r="A41" s="92">
        <v>14</v>
      </c>
      <c r="B41" s="82" t="s">
        <v>52</v>
      </c>
      <c r="C41" s="82" t="s">
        <v>21</v>
      </c>
      <c r="D41" s="108" t="s">
        <v>969</v>
      </c>
      <c r="E41" s="108" t="s">
        <v>989</v>
      </c>
      <c r="F41" s="82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970</v>
      </c>
      <c r="E42" s="111" t="s">
        <v>990</v>
      </c>
      <c r="F42" s="91">
        <v>0</v>
      </c>
    </row>
    <row r="43" spans="1:6" x14ac:dyDescent="0.35">
      <c r="A43" s="92">
        <v>16</v>
      </c>
      <c r="B43" s="116" t="s">
        <v>63</v>
      </c>
      <c r="C43" s="86" t="s">
        <v>14</v>
      </c>
      <c r="D43" s="100" t="s">
        <v>971</v>
      </c>
      <c r="E43" s="113" t="s">
        <v>991</v>
      </c>
      <c r="F43" s="86">
        <v>0</v>
      </c>
    </row>
    <row r="44" spans="1:6" x14ac:dyDescent="0.35">
      <c r="A44" s="92">
        <v>17</v>
      </c>
      <c r="B44" s="84" t="s">
        <v>55</v>
      </c>
      <c r="C44" s="84" t="s">
        <v>12</v>
      </c>
      <c r="D44" s="96" t="s">
        <v>972</v>
      </c>
      <c r="E44" s="109" t="s">
        <v>71</v>
      </c>
      <c r="F44" s="84">
        <v>0</v>
      </c>
    </row>
    <row r="45" spans="1:6" x14ac:dyDescent="0.35">
      <c r="A45" s="92">
        <v>18</v>
      </c>
      <c r="B45" s="83" t="s">
        <v>53</v>
      </c>
      <c r="C45" s="83" t="s">
        <v>11</v>
      </c>
      <c r="D45" s="93" t="s">
        <v>973</v>
      </c>
      <c r="E45" s="106" t="s">
        <v>71</v>
      </c>
      <c r="F45" s="83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974</v>
      </c>
      <c r="E46" s="107" t="s">
        <v>71</v>
      </c>
      <c r="F46" s="85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975</v>
      </c>
      <c r="E47" s="114" t="s">
        <v>71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976</v>
      </c>
      <c r="E48" s="117" t="s">
        <v>72</v>
      </c>
      <c r="F48" s="104" t="s">
        <v>66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977</v>
      </c>
      <c r="E49" s="117" t="s">
        <v>72</v>
      </c>
      <c r="F49" s="10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3" t="s">
        <v>11</v>
      </c>
      <c r="C53" s="83">
        <f>SUMIF($C$28:$C$48,B53,$F$28:$F$48)</f>
        <v>25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>SUMIF($C$28:$C$48,B54,$F$28:$F$48)</f>
        <v>19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>SUMIF($C$28:$C$48,B55,$F$28:$F$48)</f>
        <v>15</v>
      </c>
      <c r="D55" s="81"/>
      <c r="E55" s="81"/>
      <c r="F55" s="81"/>
    </row>
    <row r="56" spans="1:6" x14ac:dyDescent="0.35">
      <c r="A56" s="92">
        <v>4</v>
      </c>
      <c r="B56" s="82" t="s">
        <v>21</v>
      </c>
      <c r="C56" s="82">
        <f>SUMIF($C$28:$C$48,B56,$F$28:$F$48)</f>
        <v>12</v>
      </c>
      <c r="D56" s="81"/>
      <c r="E56" s="81"/>
      <c r="F56" s="81"/>
    </row>
    <row r="57" spans="1:6" x14ac:dyDescent="0.35">
      <c r="A57" s="92">
        <v>5</v>
      </c>
      <c r="B57" s="89" t="s">
        <v>16</v>
      </c>
      <c r="C57" s="89">
        <f>SUMIF($C$28:$C$48,B57,$F$28:$F$48)</f>
        <v>10</v>
      </c>
      <c r="D57" s="81"/>
      <c r="E57" s="81"/>
      <c r="F57" s="81"/>
    </row>
    <row r="58" spans="1:6" x14ac:dyDescent="0.35">
      <c r="A58" s="92">
        <v>6</v>
      </c>
      <c r="B58" s="85" t="s">
        <v>13</v>
      </c>
      <c r="C58" s="85">
        <f>SUMIF($C$28:$C$48,B58,$F$28:$F$48)</f>
        <v>10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>SUMIF($C$28:$C$48,B59,$F$28:$F$48)</f>
        <v>6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>SUMIF($C$28:$C$48,B60,$F$28:$F$48)</f>
        <v>4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>SUMIF($C$28:$C$48,B61,$F$28:$F$48)</f>
        <v>1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>SUMIF($C$28:$C$48,B62,$F$28:$F$48)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SUMIF($C$28:$C$48,B63,$F$28:$F$48)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2025-11-19T20:31:54Z</dcterms:modified>
</cp:coreProperties>
</file>