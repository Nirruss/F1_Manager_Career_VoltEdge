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rrus\PycharmProjects\F1_Manager_2026_Dashboard\"/>
    </mc:Choice>
  </mc:AlternateContent>
  <xr:revisionPtr revIDLastSave="0" documentId="13_ncr:1_{D2F2AFE0-ADC8-462E-9524-F92369627478}" xr6:coauthVersionLast="47" xr6:coauthVersionMax="47" xr10:uidLastSave="{00000000-0000-0000-0000-000000000000}"/>
  <bookViews>
    <workbookView xWindow="-110" yWindow="-110" windowWidth="29020" windowHeight="15700" tabRatio="947" xr2:uid="{00000000-000D-0000-FFFF-FFFF00000000}"/>
  </bookViews>
  <sheets>
    <sheet name="Teams_2024" sheetId="1" r:id="rId1"/>
    <sheet name="WDC_2024" sheetId="4" r:id="rId2"/>
    <sheet name="WCC_2024" sheetId="5" r:id="rId3"/>
    <sheet name="BAH" sheetId="6" r:id="rId4"/>
    <sheet name="SAU" sheetId="7" r:id="rId5"/>
    <sheet name="AUS" sheetId="8" r:id="rId6"/>
    <sheet name="JAP" sheetId="9" r:id="rId7"/>
    <sheet name="CHI_S" sheetId="10" r:id="rId8"/>
    <sheet name="CHI" sheetId="11" r:id="rId9"/>
    <sheet name="MIA_S" sheetId="12" r:id="rId10"/>
    <sheet name="MIA" sheetId="14" r:id="rId11"/>
    <sheet name="IMO" sheetId="13" r:id="rId12"/>
    <sheet name="MON" sheetId="15" r:id="rId13"/>
    <sheet name="CAN" sheetId="16" r:id="rId14"/>
    <sheet name="SPA" sheetId="17" r:id="rId15"/>
    <sheet name="AUT_S" sheetId="18" r:id="rId16"/>
    <sheet name="AUT" sheetId="19" r:id="rId17"/>
    <sheet name="GBR" sheetId="20" r:id="rId18"/>
    <sheet name="HUN" sheetId="21" r:id="rId19"/>
    <sheet name="BEL" sheetId="22" r:id="rId20"/>
    <sheet name="NED" sheetId="23" r:id="rId21"/>
    <sheet name="ITA" sheetId="24" r:id="rId22"/>
    <sheet name="AZE" sheetId="25" r:id="rId23"/>
    <sheet name="SGP" sheetId="26" r:id="rId24"/>
    <sheet name="USA_S" sheetId="27" r:id="rId25"/>
    <sheet name="USA" sheetId="28" r:id="rId26"/>
    <sheet name="MEX" sheetId="29" r:id="rId27"/>
    <sheet name="BRA_S" sheetId="30" r:id="rId28"/>
    <sheet name="BRA" sheetId="31" r:id="rId29"/>
    <sheet name="VEG" sheetId="32" r:id="rId30"/>
    <sheet name="QAT_S" sheetId="33" r:id="rId31"/>
    <sheet name="QAT" sheetId="34" r:id="rId32"/>
    <sheet name="UAE" sheetId="35" r:id="rId33"/>
    <sheet name="GP_List_2024" sheetId="36" r:id="rId34"/>
  </sheets>
  <definedNames>
    <definedName name="_xlnm._FilterDatabase" localSheetId="3" hidden="1">BAH!$A$1:$F$63</definedName>
    <definedName name="_xlnm._FilterDatabase" localSheetId="2" hidden="1">WCC_2024!$B$1:$AG$12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" i="4" l="1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" i="5"/>
  <c r="AG3" i="5"/>
  <c r="AG4" i="5"/>
  <c r="AG5" i="5"/>
  <c r="AG6" i="5"/>
  <c r="AG7" i="5"/>
  <c r="AG8" i="5"/>
  <c r="AG9" i="5"/>
  <c r="AG10" i="5"/>
  <c r="AG11" i="5"/>
  <c r="AG12" i="5"/>
  <c r="C63" i="35"/>
  <c r="C62" i="35"/>
  <c r="C59" i="35"/>
  <c r="C61" i="35"/>
  <c r="C58" i="35"/>
  <c r="C54" i="35"/>
  <c r="C56" i="35"/>
  <c r="C57" i="35"/>
  <c r="C60" i="35"/>
  <c r="C53" i="35"/>
  <c r="C55" i="35"/>
  <c r="C63" i="34"/>
  <c r="C62" i="34"/>
  <c r="C61" i="34"/>
  <c r="C56" i="34"/>
  <c r="C59" i="34"/>
  <c r="C60" i="34"/>
  <c r="C55" i="34"/>
  <c r="C58" i="34"/>
  <c r="C57" i="34"/>
  <c r="C54" i="34"/>
  <c r="C53" i="34"/>
  <c r="C63" i="33"/>
  <c r="C54" i="33"/>
  <c r="C62" i="33"/>
  <c r="C61" i="33"/>
  <c r="C60" i="33"/>
  <c r="C58" i="33"/>
  <c r="C56" i="33"/>
  <c r="C55" i="33"/>
  <c r="C59" i="33"/>
  <c r="C57" i="33"/>
  <c r="C53" i="33"/>
  <c r="C63" i="32"/>
  <c r="C62" i="32"/>
  <c r="C58" i="32"/>
  <c r="C61" i="32"/>
  <c r="C55" i="32"/>
  <c r="C57" i="32"/>
  <c r="C60" i="32"/>
  <c r="C59" i="32"/>
  <c r="C54" i="32"/>
  <c r="C56" i="32"/>
  <c r="C53" i="32"/>
  <c r="C63" i="31"/>
  <c r="C59" i="31"/>
  <c r="C62" i="31"/>
  <c r="C61" i="31"/>
  <c r="C60" i="31"/>
  <c r="C57" i="31"/>
  <c r="C58" i="31"/>
  <c r="C56" i="31"/>
  <c r="C54" i="31"/>
  <c r="C53" i="31"/>
  <c r="C55" i="31"/>
  <c r="C63" i="30"/>
  <c r="C61" i="30"/>
  <c r="C60" i="30"/>
  <c r="C57" i="30"/>
  <c r="C59" i="30"/>
  <c r="C55" i="30"/>
  <c r="C58" i="30"/>
  <c r="C56" i="30"/>
  <c r="C54" i="30"/>
  <c r="C62" i="30"/>
  <c r="C53" i="30"/>
  <c r="C63" i="29"/>
  <c r="C62" i="29"/>
  <c r="C61" i="29"/>
  <c r="C60" i="29"/>
  <c r="C59" i="29"/>
  <c r="C58" i="29"/>
  <c r="C57" i="29"/>
  <c r="C56" i="29"/>
  <c r="C55" i="29"/>
  <c r="C54" i="29"/>
  <c r="C53" i="29"/>
  <c r="C63" i="27"/>
  <c r="C62" i="27"/>
  <c r="C61" i="27"/>
  <c r="C60" i="27"/>
  <c r="C59" i="27"/>
  <c r="C58" i="27"/>
  <c r="C57" i="27"/>
  <c r="C56" i="27"/>
  <c r="C55" i="27"/>
  <c r="C54" i="27"/>
  <c r="C53" i="27"/>
  <c r="C63" i="28"/>
  <c r="C62" i="28"/>
  <c r="C61" i="28"/>
  <c r="C59" i="28"/>
  <c r="C56" i="28"/>
  <c r="C58" i="28"/>
  <c r="C57" i="28"/>
  <c r="C54" i="28"/>
  <c r="C55" i="28"/>
  <c r="C53" i="28"/>
  <c r="C60" i="28"/>
  <c r="C63" i="26"/>
  <c r="C62" i="26"/>
  <c r="C54" i="26"/>
  <c r="C61" i="26"/>
  <c r="C58" i="26"/>
  <c r="C59" i="26"/>
  <c r="C60" i="26"/>
  <c r="C57" i="26"/>
  <c r="C55" i="26"/>
  <c r="C53" i="26"/>
  <c r="C56" i="26"/>
  <c r="C63" i="25"/>
  <c r="C62" i="25"/>
  <c r="C61" i="25"/>
  <c r="C60" i="25"/>
  <c r="C59" i="25"/>
  <c r="C58" i="25"/>
  <c r="C57" i="25"/>
  <c r="C56" i="25"/>
  <c r="C55" i="25"/>
  <c r="C54" i="25"/>
  <c r="C53" i="25"/>
  <c r="C63" i="24"/>
  <c r="C61" i="24"/>
  <c r="C60" i="24"/>
  <c r="C57" i="24"/>
  <c r="C59" i="24"/>
  <c r="C58" i="24"/>
  <c r="C62" i="24"/>
  <c r="C53" i="24"/>
  <c r="C56" i="24"/>
  <c r="C55" i="24"/>
  <c r="C54" i="24"/>
  <c r="C63" i="23"/>
  <c r="C62" i="23"/>
  <c r="C60" i="23"/>
  <c r="C59" i="23"/>
  <c r="C61" i="23"/>
  <c r="C58" i="23"/>
  <c r="C55" i="23"/>
  <c r="C57" i="23"/>
  <c r="C56" i="23"/>
  <c r="C54" i="23"/>
  <c r="C53" i="23"/>
  <c r="C63" i="22"/>
  <c r="C62" i="22"/>
  <c r="C59" i="22"/>
  <c r="C61" i="22"/>
  <c r="C58" i="22"/>
  <c r="C60" i="22"/>
  <c r="C56" i="22"/>
  <c r="C57" i="22"/>
  <c r="C53" i="22"/>
  <c r="C55" i="22"/>
  <c r="C54" i="22"/>
  <c r="C63" i="21"/>
  <c r="C57" i="21"/>
  <c r="C62" i="21"/>
  <c r="C61" i="21"/>
  <c r="C59" i="21"/>
  <c r="C60" i="21"/>
  <c r="C58" i="21"/>
  <c r="C56" i="21"/>
  <c r="C54" i="21"/>
  <c r="C53" i="21"/>
  <c r="C55" i="21"/>
  <c r="C53" i="20"/>
  <c r="C53" i="19"/>
  <c r="C63" i="20"/>
  <c r="C61" i="20"/>
  <c r="C60" i="20"/>
  <c r="C57" i="20"/>
  <c r="C58" i="20"/>
  <c r="C62" i="20"/>
  <c r="C59" i="20"/>
  <c r="C56" i="20"/>
  <c r="C55" i="20"/>
  <c r="C54" i="20"/>
  <c r="C63" i="19"/>
  <c r="C62" i="19"/>
  <c r="C61" i="19"/>
  <c r="C60" i="19"/>
  <c r="C59" i="19"/>
  <c r="C58" i="19"/>
  <c r="C57" i="19"/>
  <c r="C56" i="19"/>
  <c r="C55" i="19"/>
  <c r="C54" i="19"/>
  <c r="C63" i="18"/>
  <c r="C62" i="18"/>
  <c r="C61" i="18"/>
  <c r="C59" i="18"/>
  <c r="C57" i="18"/>
  <c r="C58" i="18"/>
  <c r="C56" i="18"/>
  <c r="C60" i="18"/>
  <c r="C54" i="18"/>
  <c r="C55" i="18"/>
  <c r="C53" i="18"/>
  <c r="C63" i="17"/>
  <c r="C62" i="17"/>
  <c r="C61" i="17"/>
  <c r="C58" i="17"/>
  <c r="C55" i="17"/>
  <c r="C60" i="17"/>
  <c r="C59" i="17"/>
  <c r="C56" i="17"/>
  <c r="C57" i="17"/>
  <c r="C54" i="17"/>
  <c r="C53" i="17"/>
  <c r="C53" i="16"/>
  <c r="C53" i="15"/>
  <c r="C53" i="14"/>
  <c r="C63" i="12"/>
  <c r="C62" i="12"/>
  <c r="C61" i="12"/>
  <c r="C60" i="12"/>
  <c r="C59" i="12"/>
  <c r="C58" i="12"/>
  <c r="C57" i="12"/>
  <c r="C56" i="12"/>
  <c r="C55" i="12"/>
  <c r="C54" i="12"/>
  <c r="C53" i="12"/>
  <c r="C55" i="11"/>
  <c r="C56" i="10"/>
  <c r="C54" i="9"/>
  <c r="C63" i="16"/>
  <c r="C62" i="16"/>
  <c r="C61" i="16"/>
  <c r="C58" i="16"/>
  <c r="C57" i="16"/>
  <c r="C55" i="16"/>
  <c r="C60" i="16"/>
  <c r="C56" i="16"/>
  <c r="C59" i="16"/>
  <c r="C54" i="16"/>
  <c r="C63" i="15"/>
  <c r="C62" i="15"/>
  <c r="C61" i="15"/>
  <c r="C60" i="15"/>
  <c r="C59" i="15"/>
  <c r="C57" i="15"/>
  <c r="C58" i="15"/>
  <c r="C55" i="15"/>
  <c r="C56" i="15"/>
  <c r="C54" i="15"/>
  <c r="C63" i="13"/>
  <c r="C57" i="13"/>
  <c r="C62" i="13"/>
  <c r="C61" i="13"/>
  <c r="C58" i="13"/>
  <c r="C60" i="13"/>
  <c r="C59" i="13"/>
  <c r="C56" i="13"/>
  <c r="C54" i="13"/>
  <c r="C55" i="13"/>
  <c r="C53" i="13"/>
  <c r="C63" i="14"/>
  <c r="C61" i="14"/>
  <c r="C60" i="14"/>
  <c r="C58" i="14"/>
  <c r="C59" i="14"/>
  <c r="C57" i="14"/>
  <c r="C56" i="14"/>
  <c r="C62" i="14"/>
  <c r="C55" i="14"/>
  <c r="C54" i="14"/>
  <c r="C63" i="11"/>
  <c r="C62" i="11"/>
  <c r="C61" i="11"/>
  <c r="C60" i="11"/>
  <c r="C59" i="11"/>
  <c r="C58" i="11"/>
  <c r="C57" i="11"/>
  <c r="C56" i="11"/>
  <c r="C54" i="11"/>
  <c r="C53" i="11"/>
  <c r="C63" i="10"/>
  <c r="C62" i="10"/>
  <c r="C61" i="10"/>
  <c r="C60" i="10"/>
  <c r="C59" i="10"/>
  <c r="C58" i="10"/>
  <c r="C57" i="10"/>
  <c r="C55" i="10"/>
  <c r="C54" i="10"/>
  <c r="C53" i="10"/>
  <c r="C63" i="9"/>
  <c r="C62" i="9"/>
  <c r="C61" i="9"/>
  <c r="C60" i="9"/>
  <c r="C59" i="9"/>
  <c r="C58" i="9"/>
  <c r="C57" i="9"/>
  <c r="C56" i="9"/>
  <c r="C55" i="9"/>
  <c r="C53" i="9"/>
  <c r="C63" i="8"/>
  <c r="C62" i="8"/>
  <c r="C61" i="8"/>
  <c r="C60" i="8"/>
  <c r="C59" i="8"/>
  <c r="C58" i="8"/>
  <c r="C57" i="8"/>
  <c r="C56" i="8"/>
  <c r="C55" i="8"/>
  <c r="C54" i="8"/>
  <c r="C53" i="8"/>
  <c r="C53" i="6"/>
  <c r="C63" i="7"/>
  <c r="C62" i="7"/>
  <c r="C61" i="7"/>
  <c r="C60" i="7"/>
  <c r="C59" i="7"/>
  <c r="C58" i="7"/>
  <c r="C57" i="7"/>
  <c r="C56" i="7"/>
  <c r="C55" i="7"/>
  <c r="C54" i="7"/>
  <c r="C53" i="7"/>
  <c r="C62" i="6"/>
  <c r="C63" i="6"/>
  <c r="C61" i="6"/>
  <c r="C60" i="6"/>
  <c r="C59" i="6"/>
  <c r="C58" i="6"/>
  <c r="C57" i="6"/>
  <c r="C56" i="6"/>
  <c r="C55" i="6"/>
  <c r="C54" i="6"/>
</calcChain>
</file>

<file path=xl/sharedStrings.xml><?xml version="1.0" encoding="utf-8"?>
<sst xmlns="http://schemas.openxmlformats.org/spreadsheetml/2006/main" count="5108" uniqueCount="1212">
  <si>
    <t>Команда</t>
  </si>
  <si>
    <t>Пилот 1</t>
  </si>
  <si>
    <t>Пилот 2</t>
  </si>
  <si>
    <t>ГИ 1</t>
  </si>
  <si>
    <t>ГИ 2</t>
  </si>
  <si>
    <t>ОП 1</t>
  </si>
  <si>
    <t>ОП 2</t>
  </si>
  <si>
    <t>ОП 3</t>
  </si>
  <si>
    <t>Стартовый баланс</t>
  </si>
  <si>
    <t>Отделы</t>
  </si>
  <si>
    <t>Показатели болида</t>
  </si>
  <si>
    <t>Oracle Red Bull Racing</t>
  </si>
  <si>
    <t>Mercedes-AMG PETRONAS Formula One Team</t>
  </si>
  <si>
    <t>Scuderia Ferrari HP</t>
  </si>
  <si>
    <t>McLaren Formula 1 Team</t>
  </si>
  <si>
    <t>Aston Martin Aramco Formula One Team</t>
  </si>
  <si>
    <t>BWT Alpine F1 Team</t>
  </si>
  <si>
    <t>Williams Racing</t>
  </si>
  <si>
    <t>Visa Cash App RB Formula One Team</t>
  </si>
  <si>
    <t>Stake F1 Team Kick Sauber</t>
  </si>
  <si>
    <t>MoneyGram Haas F1 Team</t>
  </si>
  <si>
    <t>VoltEdge Quantum Racing</t>
  </si>
  <si>
    <t>40.000.000$</t>
  </si>
  <si>
    <t>20.000.000$</t>
  </si>
  <si>
    <t>10.000.000$</t>
  </si>
  <si>
    <t>2.000.000$</t>
  </si>
  <si>
    <t>100.000.000$</t>
  </si>
  <si>
    <t>Пилоты</t>
  </si>
  <si>
    <t>Очки</t>
  </si>
  <si>
    <t>Пилоты\Гонки</t>
  </si>
  <si>
    <t>Бахрейн</t>
  </si>
  <si>
    <t>Австралия</t>
  </si>
  <si>
    <t>Япония</t>
  </si>
  <si>
    <t>Китай</t>
  </si>
  <si>
    <t>Майами</t>
  </si>
  <si>
    <t>Имола</t>
  </si>
  <si>
    <t>Монако</t>
  </si>
  <si>
    <t>Китай (спринт)</t>
  </si>
  <si>
    <t>Майами (спринт)</t>
  </si>
  <si>
    <t>Канада</t>
  </si>
  <si>
    <t>Испания</t>
  </si>
  <si>
    <t>Австрия (спринт)</t>
  </si>
  <si>
    <t>Австрия</t>
  </si>
  <si>
    <t>Великобритания</t>
  </si>
  <si>
    <t>Венгрия</t>
  </si>
  <si>
    <t>Бельгия</t>
  </si>
  <si>
    <t>Нидерланды</t>
  </si>
  <si>
    <t>Монца</t>
  </si>
  <si>
    <t>Азербайджан</t>
  </si>
  <si>
    <t>Сингапур</t>
  </si>
  <si>
    <t>Остин</t>
  </si>
  <si>
    <t>Мексика</t>
  </si>
  <si>
    <t>Остин (спринт)</t>
  </si>
  <si>
    <t>Бразилия (спринт)</t>
  </si>
  <si>
    <t>Бразилия</t>
  </si>
  <si>
    <t>Лас-Вегас</t>
  </si>
  <si>
    <t>Катар (спринт)</t>
  </si>
  <si>
    <t>Катар</t>
  </si>
  <si>
    <t>ОАЭ</t>
  </si>
  <si>
    <t>СА</t>
  </si>
  <si>
    <t>-</t>
  </si>
  <si>
    <t>Lando Norris</t>
  </si>
  <si>
    <t>Yuki Tsunoda</t>
  </si>
  <si>
    <t>Max Verstappen</t>
  </si>
  <si>
    <t>Charles Leclerc</t>
  </si>
  <si>
    <t>Gabriel Bortoleto</t>
  </si>
  <si>
    <t>George Russell</t>
  </si>
  <si>
    <t>Carlos Sainz</t>
  </si>
  <si>
    <t>Oscar Piastri</t>
  </si>
  <si>
    <t>Oliver Bearman</t>
  </si>
  <si>
    <t>Valttery Bottas</t>
  </si>
  <si>
    <t>Kevin Magnussen</t>
  </si>
  <si>
    <t>Fernando Alonso</t>
  </si>
  <si>
    <t>Liam Lawson</t>
  </si>
  <si>
    <t>Isaac Hadjar</t>
  </si>
  <si>
    <t>Esteban Ocon</t>
  </si>
  <si>
    <t>Lewis Hamilton</t>
  </si>
  <si>
    <t>Nico Hulkenberg</t>
  </si>
  <si>
    <t>Franco Colapinto</t>
  </si>
  <si>
    <t>Kimi Antonelli</t>
  </si>
  <si>
    <t>Lance Stroll</t>
  </si>
  <si>
    <t>Alex Albon</t>
  </si>
  <si>
    <t>DNF</t>
  </si>
  <si>
    <t>Итого</t>
  </si>
  <si>
    <t>Команды\Гонки</t>
  </si>
  <si>
    <t>Лучший круг</t>
  </si>
  <si>
    <t>Отставание</t>
  </si>
  <si>
    <t>1:33:720</t>
  </si>
  <si>
    <t>1:33.256</t>
  </si>
  <si>
    <t>1:33.981</t>
  </si>
  <si>
    <t>1:33.358</t>
  </si>
  <si>
    <t>1:33.366</t>
  </si>
  <si>
    <t>1:33.541</t>
  </si>
  <si>
    <t>1:33.747</t>
  </si>
  <si>
    <t>1:34.187</t>
  </si>
  <si>
    <t>1:32.789</t>
  </si>
  <si>
    <t>1:33.331</t>
  </si>
  <si>
    <t>1:34.234</t>
  </si>
  <si>
    <t>1:32.950</t>
  </si>
  <si>
    <t>1:33.994</t>
  </si>
  <si>
    <t>1:32.470</t>
  </si>
  <si>
    <t>1:33.847</t>
  </si>
  <si>
    <t>1:34.073</t>
  </si>
  <si>
    <t>1:35.139</t>
  </si>
  <si>
    <t>1:35.841</t>
  </si>
  <si>
    <t>1:36.441</t>
  </si>
  <si>
    <t>1:35.305</t>
  </si>
  <si>
    <t>1:35.816</t>
  </si>
  <si>
    <t>1:38.042</t>
  </si>
  <si>
    <t>01:32:23</t>
  </si>
  <si>
    <t>+12.952</t>
  </si>
  <si>
    <t>+18.480</t>
  </si>
  <si>
    <t>+1.631</t>
  </si>
  <si>
    <t>+17.603</t>
  </si>
  <si>
    <t>+1.748</t>
  </si>
  <si>
    <t>+6.773</t>
  </si>
  <si>
    <t>+9.552</t>
  </si>
  <si>
    <t>+3.611</t>
  </si>
  <si>
    <t>+0.702</t>
  </si>
  <si>
    <t>+1.765</t>
  </si>
  <si>
    <t>+2.618</t>
  </si>
  <si>
    <t>+6.972</t>
  </si>
  <si>
    <t>+1 круг</t>
  </si>
  <si>
    <t>+2 круга</t>
  </si>
  <si>
    <t>выбыл</t>
  </si>
  <si>
    <t>Pierre Gasly</t>
  </si>
  <si>
    <t>Alex Chan</t>
  </si>
  <si>
    <t>William Joseph</t>
  </si>
  <si>
    <t>James Allison</t>
  </si>
  <si>
    <t>Guru Yoel</t>
  </si>
  <si>
    <t>Ron Meadows</t>
  </si>
  <si>
    <t>John Howard</t>
  </si>
  <si>
    <t>Tom Stallard</t>
  </si>
  <si>
    <t>Pierre Waché</t>
  </si>
  <si>
    <t>Enrico Balbo</t>
  </si>
  <si>
    <t>Jonathan Wheatley</t>
  </si>
  <si>
    <t>Gaëtan Djego</t>
  </si>
  <si>
    <t>Riccardo Adami</t>
  </si>
  <si>
    <t>Matt Harman</t>
  </si>
  <si>
    <t>Jerrod Murphy</t>
  </si>
  <si>
    <t>Beat Zehnder</t>
  </si>
  <si>
    <t>Mark Slade</t>
  </si>
  <si>
    <t>James Urwin</t>
  </si>
  <si>
    <t>James Key</t>
  </si>
  <si>
    <t>Alessandro Cinelli</t>
  </si>
  <si>
    <t>Julian Rose</t>
  </si>
  <si>
    <t>Hugh Bird</t>
  </si>
  <si>
    <t>Mattia Spini</t>
  </si>
  <si>
    <t>Enrico Cardile</t>
  </si>
  <si>
    <t>Diego Tondi</t>
  </si>
  <si>
    <t>Sven Smits</t>
  </si>
  <si>
    <t>Pierre Amelin</t>
  </si>
  <si>
    <t>Gary Gannon</t>
  </si>
  <si>
    <t>Dan Fallows</t>
  </si>
  <si>
    <t>Dirk de Beer</t>
  </si>
  <si>
    <t>Diego Ioverno</t>
  </si>
  <si>
    <t>Chris Cronin</t>
  </si>
  <si>
    <t>Andrea Benisi</t>
  </si>
  <si>
    <t>Pat Fry</t>
  </si>
  <si>
    <t>Ian Greig</t>
  </si>
  <si>
    <t>Randjeep Singh</t>
  </si>
  <si>
    <t>Gianpiero Lambiase</t>
  </si>
  <si>
    <t>Marcus Dalli</t>
  </si>
  <si>
    <t>Andrea De Zordo</t>
  </si>
  <si>
    <t>Peter Prodromou</t>
  </si>
  <si>
    <t>Marco Perrone</t>
  </si>
  <si>
    <t>Stuart King</t>
  </si>
  <si>
    <t>Peter van Leewen</t>
  </si>
  <si>
    <t>Niall Howldie</t>
  </si>
  <si>
    <t>Adam Kenyon</t>
  </si>
  <si>
    <t>Andy Stevenson</t>
  </si>
  <si>
    <t>Peter Bonnington</t>
  </si>
  <si>
    <t>Xavi Marcos Padros</t>
  </si>
  <si>
    <t>Jody Egginton</t>
  </si>
  <si>
    <t>David Paganelli</t>
  </si>
  <si>
    <t>Toby Brown</t>
  </si>
  <si>
    <t>Ben Michel</t>
  </si>
  <si>
    <t>1:31.350</t>
  </si>
  <si>
    <t>1:30.751</t>
  </si>
  <si>
    <t>1:31.035</t>
  </si>
  <si>
    <t>1:30.468</t>
  </si>
  <si>
    <t>1:32.976</t>
  </si>
  <si>
    <t>1:31.552</t>
  </si>
  <si>
    <t>1:32.046</t>
  </si>
  <si>
    <t>1:33.289</t>
  </si>
  <si>
    <t>1:33.718</t>
  </si>
  <si>
    <t>1:33.422</t>
  </si>
  <si>
    <t>1:33.408</t>
  </si>
  <si>
    <t>1:33.452</t>
  </si>
  <si>
    <t>1:33.593</t>
  </si>
  <si>
    <t>1:33.815</t>
  </si>
  <si>
    <t>1:34.519</t>
  </si>
  <si>
    <t>1:33.993</t>
  </si>
  <si>
    <t>1:36.193</t>
  </si>
  <si>
    <t>1:38.525</t>
  </si>
  <si>
    <t>1:37.673</t>
  </si>
  <si>
    <t>1:38.040</t>
  </si>
  <si>
    <t>1:38.711</t>
  </si>
  <si>
    <t>01:24:54</t>
  </si>
  <si>
    <t>+0.296</t>
  </si>
  <si>
    <t>+0.123</t>
  </si>
  <si>
    <t>+1.619</t>
  </si>
  <si>
    <t>+4.060</t>
  </si>
  <si>
    <t>+0.790</t>
  </si>
  <si>
    <t>+0.184</t>
  </si>
  <si>
    <t>+0.146</t>
  </si>
  <si>
    <t>+3.480</t>
  </si>
  <si>
    <t>+2.432</t>
  </si>
  <si>
    <t>+0.147</t>
  </si>
  <si>
    <t>+0.695</t>
  </si>
  <si>
    <t>+1.252</t>
  </si>
  <si>
    <t>+1.529</t>
  </si>
  <si>
    <t>+0.234</t>
  </si>
  <si>
    <t>1:19.791</t>
  </si>
  <si>
    <t>1:19.614</t>
  </si>
  <si>
    <t>1:20.239</t>
  </si>
  <si>
    <t>1:19.706</t>
  </si>
  <si>
    <t>1:19.131</t>
  </si>
  <si>
    <t>1:19.299</t>
  </si>
  <si>
    <t>1:19.269</t>
  </si>
  <si>
    <t>1:18.826</t>
  </si>
  <si>
    <t>1:20.423</t>
  </si>
  <si>
    <t>1:19.487</t>
  </si>
  <si>
    <t>1:20.924</t>
  </si>
  <si>
    <t>1:19.634</t>
  </si>
  <si>
    <t>1:20.710</t>
  </si>
  <si>
    <t>1:21.216</t>
  </si>
  <si>
    <t>1:20.987</t>
  </si>
  <si>
    <t>1:21.415</t>
  </si>
  <si>
    <t>1:20.237</t>
  </si>
  <si>
    <t>1:20.632</t>
  </si>
  <si>
    <t>1:20.798</t>
  </si>
  <si>
    <t>1:21.254</t>
  </si>
  <si>
    <t>1:20.495</t>
  </si>
  <si>
    <t>01:20:50</t>
  </si>
  <si>
    <t>+24.787</t>
  </si>
  <si>
    <t>+2.911</t>
  </si>
  <si>
    <t>+6.898</t>
  </si>
  <si>
    <t>+6.405</t>
  </si>
  <si>
    <t>+4.606</t>
  </si>
  <si>
    <t>+3.962</t>
  </si>
  <si>
    <t>+2.028</t>
  </si>
  <si>
    <t>+12.396</t>
  </si>
  <si>
    <t>+2.603</t>
  </si>
  <si>
    <t>+1.760</t>
  </si>
  <si>
    <t>01:24:11</t>
  </si>
  <si>
    <t>+25.591</t>
  </si>
  <si>
    <t>+33.438</t>
  </si>
  <si>
    <t>+36.295</t>
  </si>
  <si>
    <t>+0.602</t>
  </si>
  <si>
    <t>+2.478</t>
  </si>
  <si>
    <t>1:28.889</t>
  </si>
  <si>
    <t>1:29.253</t>
  </si>
  <si>
    <t>1:30.727</t>
  </si>
  <si>
    <t>1:30.233</t>
  </si>
  <si>
    <t>1:29.643</t>
  </si>
  <si>
    <t>1:30.736</t>
  </si>
  <si>
    <t>1:28.689</t>
  </si>
  <si>
    <t>1:31.887</t>
  </si>
  <si>
    <t>1:30.458</t>
  </si>
  <si>
    <t>1:31.633</t>
  </si>
  <si>
    <t>1:31.427</t>
  </si>
  <si>
    <t>1:31.171</t>
  </si>
  <si>
    <t>1:32.226</t>
  </si>
  <si>
    <t>1:31.475</t>
  </si>
  <si>
    <t>1:31.655</t>
  </si>
  <si>
    <t>1:31.558</t>
  </si>
  <si>
    <t>1:31.379</t>
  </si>
  <si>
    <t>1:31.158</t>
  </si>
  <si>
    <t>1:31.433</t>
  </si>
  <si>
    <t>1:33.353</t>
  </si>
  <si>
    <t>1:32.592</t>
  </si>
  <si>
    <t>1:34.632</t>
  </si>
  <si>
    <t>00:30:26</t>
  </si>
  <si>
    <t>+4.492</t>
  </si>
  <si>
    <t>+7.235</t>
  </si>
  <si>
    <t>+0.542</t>
  </si>
  <si>
    <t>+0.613</t>
  </si>
  <si>
    <t>+4.039</t>
  </si>
  <si>
    <t>+0.264</t>
  </si>
  <si>
    <t>+7.092</t>
  </si>
  <si>
    <t>+3.549</t>
  </si>
  <si>
    <t>+2.865</t>
  </si>
  <si>
    <t>+2.411</t>
  </si>
  <si>
    <t>+0.466</t>
  </si>
  <si>
    <t>+2.697</t>
  </si>
  <si>
    <t>+1.417</t>
  </si>
  <si>
    <t>+13.616</t>
  </si>
  <si>
    <t>+2.883</t>
  </si>
  <si>
    <t>+2.971</t>
  </si>
  <si>
    <t>+2.840</t>
  </si>
  <si>
    <t>+4.504</t>
  </si>
  <si>
    <t>+4.222</t>
  </si>
  <si>
    <t>+1.402</t>
  </si>
  <si>
    <t>+2.021</t>
  </si>
  <si>
    <t>1:35.947</t>
  </si>
  <si>
    <t>1:36.537</t>
  </si>
  <si>
    <t>1:36.235</t>
  </si>
  <si>
    <t>1:36.396</t>
  </si>
  <si>
    <t>1:36.636</t>
  </si>
  <si>
    <t>1:36.863</t>
  </si>
  <si>
    <t>1:36.531</t>
  </si>
  <si>
    <t>1:36.609</t>
  </si>
  <si>
    <t>1:36.885</t>
  </si>
  <si>
    <t>1:35.751</t>
  </si>
  <si>
    <t>1:36.587</t>
  </si>
  <si>
    <t>1:36.778</t>
  </si>
  <si>
    <t>1:36.856</t>
  </si>
  <si>
    <t>1:37.486</t>
  </si>
  <si>
    <t>1:37.613</t>
  </si>
  <si>
    <t>1:38.155</t>
  </si>
  <si>
    <t>1:37.838</t>
  </si>
  <si>
    <t>1:38.047</t>
  </si>
  <si>
    <t>1:38.207</t>
  </si>
  <si>
    <t>1:38.688</t>
  </si>
  <si>
    <t>1:37.917</t>
  </si>
  <si>
    <t>1:39.913</t>
  </si>
  <si>
    <t>01:33:48</t>
  </si>
  <si>
    <t>+5.325</t>
  </si>
  <si>
    <t>+29.668</t>
  </si>
  <si>
    <t>+0.685</t>
  </si>
  <si>
    <t>+20.745</t>
  </si>
  <si>
    <t>+0.320</t>
  </si>
  <si>
    <t>+5.494</t>
  </si>
  <si>
    <t>+11.435</t>
  </si>
  <si>
    <t>+0.452</t>
  </si>
  <si>
    <t>+0.816</t>
  </si>
  <si>
    <t>+7.444</t>
  </si>
  <si>
    <t>1:34.217</t>
  </si>
  <si>
    <t>1:34.684</t>
  </si>
  <si>
    <t>1:34.503</t>
  </si>
  <si>
    <t>1:35.200</t>
  </si>
  <si>
    <t>1:35.617</t>
  </si>
  <si>
    <t>1:35.377</t>
  </si>
  <si>
    <t>1:36.463</t>
  </si>
  <si>
    <t>1:34.511</t>
  </si>
  <si>
    <t>1:36.048</t>
  </si>
  <si>
    <t>1:35.612</t>
  </si>
  <si>
    <t>1:36.020</t>
  </si>
  <si>
    <t>1:36.561</t>
  </si>
  <si>
    <t>1:37.907</t>
  </si>
  <si>
    <t>1:36.215</t>
  </si>
  <si>
    <t>1:37.167</t>
  </si>
  <si>
    <t>1:35.448</t>
  </si>
  <si>
    <t>1:37.147</t>
  </si>
  <si>
    <t>1:36.373</t>
  </si>
  <si>
    <t>1:37.894</t>
  </si>
  <si>
    <t>1:37.648</t>
  </si>
  <si>
    <t>1:40.061</t>
  </si>
  <si>
    <t>Позиция</t>
  </si>
  <si>
    <t>1:32.233</t>
  </si>
  <si>
    <t>1:33.233</t>
  </si>
  <si>
    <t>1:34.233</t>
  </si>
  <si>
    <t>1:35.233</t>
  </si>
  <si>
    <t>01:30:52</t>
  </si>
  <si>
    <t>+13.741</t>
  </si>
  <si>
    <t>+17.982</t>
  </si>
  <si>
    <t>+0.996</t>
  </si>
  <si>
    <t>+19.371</t>
  </si>
  <si>
    <t>+3.821</t>
  </si>
  <si>
    <t>+12.134</t>
  </si>
  <si>
    <t>+1:59.681</t>
  </si>
  <si>
    <t>1:31.416</t>
  </si>
  <si>
    <t>1:29.544</t>
  </si>
  <si>
    <t>1:30.872</t>
  </si>
  <si>
    <t>1:30.863</t>
  </si>
  <si>
    <t>1:31.257</t>
  </si>
  <si>
    <t>1:31.565</t>
  </si>
  <si>
    <t>1:31.146</t>
  </si>
  <si>
    <t>1:31.258</t>
  </si>
  <si>
    <t>1:31.711</t>
  </si>
  <si>
    <t>1:31.754</t>
  </si>
  <si>
    <t>1:32.938</t>
  </si>
  <si>
    <t>1:32.977</t>
  </si>
  <si>
    <t>1:32.819</t>
  </si>
  <si>
    <t>1:32.709</t>
  </si>
  <si>
    <t>1:32.352</t>
  </si>
  <si>
    <t>1:32.856</t>
  </si>
  <si>
    <t>1:37.628</t>
  </si>
  <si>
    <t>1:33.941</t>
  </si>
  <si>
    <t>1:33.414</t>
  </si>
  <si>
    <t>1:33.174</t>
  </si>
  <si>
    <t>1:33.742</t>
  </si>
  <si>
    <t>01:22:46</t>
  </si>
  <si>
    <t>+10.102</t>
  </si>
  <si>
    <t>+17.586</t>
  </si>
  <si>
    <t>+10.728</t>
  </si>
  <si>
    <t>+2.664</t>
  </si>
  <si>
    <t>+0.409</t>
  </si>
  <si>
    <t>+7.826</t>
  </si>
  <si>
    <t>+12.211</t>
  </si>
  <si>
    <t>1:15.229</t>
  </si>
  <si>
    <t>1:15.737</t>
  </si>
  <si>
    <t>1:15.825</t>
  </si>
  <si>
    <t>1:16.476</t>
  </si>
  <si>
    <t>1:15.948</t>
  </si>
  <si>
    <t>1:15.796</t>
  </si>
  <si>
    <t>1:16.501</t>
  </si>
  <si>
    <t>1:16.116</t>
  </si>
  <si>
    <t>1:15.935</t>
  </si>
  <si>
    <t>1:17.300</t>
  </si>
  <si>
    <t>1:17.624</t>
  </si>
  <si>
    <t>1:15.301</t>
  </si>
  <si>
    <t>1:17.491</t>
  </si>
  <si>
    <t>1:16.568</t>
  </si>
  <si>
    <t>1:16.783</t>
  </si>
  <si>
    <t>1:16.376</t>
  </si>
  <si>
    <t>1:17.225</t>
  </si>
  <si>
    <t>1:17.898</t>
  </si>
  <si>
    <t>1:17.665</t>
  </si>
  <si>
    <t>1:15.206</t>
  </si>
  <si>
    <t>1:18.593</t>
  </si>
  <si>
    <t>1:18.391</t>
  </si>
  <si>
    <t>01:39:16</t>
  </si>
  <si>
    <t>+13.032</t>
  </si>
  <si>
    <t>+2.012</t>
  </si>
  <si>
    <t>+2.479</t>
  </si>
  <si>
    <t>+2.038</t>
  </si>
  <si>
    <t>+1.471</t>
  </si>
  <si>
    <t>+10.742</t>
  </si>
  <si>
    <t>+1.583</t>
  </si>
  <si>
    <t>+3.829</t>
  </si>
  <si>
    <t>+1.517</t>
  </si>
  <si>
    <t>+7.723</t>
  </si>
  <si>
    <t>+7.609</t>
  </si>
  <si>
    <t>1:10.298</t>
  </si>
  <si>
    <t>1:11.252</t>
  </si>
  <si>
    <t>1:10.900</t>
  </si>
  <si>
    <t>1:10.970</t>
  </si>
  <si>
    <t>1:11.083</t>
  </si>
  <si>
    <t>1:11.187</t>
  </si>
  <si>
    <t>1:10.934</t>
  </si>
  <si>
    <t>1:11.178</t>
  </si>
  <si>
    <t>1:11.337</t>
  </si>
  <si>
    <t>1:12.430</t>
  </si>
  <si>
    <t>1:11.679</t>
  </si>
  <si>
    <t>1:12.473</t>
  </si>
  <si>
    <t>1:13.196</t>
  </si>
  <si>
    <t>1:12.094</t>
  </si>
  <si>
    <t>1:12.220</t>
  </si>
  <si>
    <t>1:12.513</t>
  </si>
  <si>
    <t>1:13.151</t>
  </si>
  <si>
    <t>1:13.083</t>
  </si>
  <si>
    <t>1:13.081</t>
  </si>
  <si>
    <t>1:13.946</t>
  </si>
  <si>
    <t>1:14.589</t>
  </si>
  <si>
    <t>1:17.915</t>
  </si>
  <si>
    <t>Пилот 3</t>
  </si>
  <si>
    <t>Pato Oward</t>
  </si>
  <si>
    <t>Antonio Giovinazzi</t>
  </si>
  <si>
    <t>Hugh Bray</t>
  </si>
  <si>
    <t>Pietro Fittipaldi</t>
  </si>
  <si>
    <t>Ayumu Iwasa</t>
  </si>
  <si>
    <t>Jack Doohan</t>
  </si>
  <si>
    <t>Jak Crawford</t>
  </si>
  <si>
    <t>Frederik Vesti</t>
  </si>
  <si>
    <t>Kacper Sztuka</t>
  </si>
  <si>
    <t>Zane Maloney</t>
  </si>
  <si>
    <t>Luke Browning</t>
  </si>
  <si>
    <t>1:14.014</t>
  </si>
  <si>
    <t>01:40:07</t>
  </si>
  <si>
    <t>+9.817</t>
  </si>
  <si>
    <t>+0.241</t>
  </si>
  <si>
    <t>+8.660</t>
  </si>
  <si>
    <t>+4.876</t>
  </si>
  <si>
    <t>+0.242</t>
  </si>
  <si>
    <t>+14.778</t>
  </si>
  <si>
    <t>+11.033</t>
  </si>
  <si>
    <t>+0.211</t>
  </si>
  <si>
    <t>+17.536</t>
  </si>
  <si>
    <t>+0.768</t>
  </si>
  <si>
    <t>+4.823</t>
  </si>
  <si>
    <t>1:15.272</t>
  </si>
  <si>
    <t>1:15.558</t>
  </si>
  <si>
    <t>1:15.002</t>
  </si>
  <si>
    <t>1:15.449</t>
  </si>
  <si>
    <t>1:15.574</t>
  </si>
  <si>
    <t>1:15.164</t>
  </si>
  <si>
    <t>1:15.236</t>
  </si>
  <si>
    <t>1:16.226</t>
  </si>
  <si>
    <t>1:15.440</t>
  </si>
  <si>
    <t>1:16.584</t>
  </si>
  <si>
    <t>1:15.715</t>
  </si>
  <si>
    <t>1:15.751</t>
  </si>
  <si>
    <t>1:16.950</t>
  </si>
  <si>
    <t>1:16.738</t>
  </si>
  <si>
    <t>1:16.367</t>
  </si>
  <si>
    <t>1:17.024</t>
  </si>
  <si>
    <t>1:16.299</t>
  </si>
  <si>
    <t>1:16.825</t>
  </si>
  <si>
    <t>1:17.277</t>
  </si>
  <si>
    <t>1:26.096</t>
  </si>
  <si>
    <t>1:27.583</t>
  </si>
  <si>
    <t>1:15.140</t>
  </si>
  <si>
    <t>1:15.103</t>
  </si>
  <si>
    <t>1:15.692</t>
  </si>
  <si>
    <t>1:16.048</t>
  </si>
  <si>
    <t>1:14.366</t>
  </si>
  <si>
    <t>1:14.783</t>
  </si>
  <si>
    <t>1:15.055</t>
  </si>
  <si>
    <t>1:15.616</t>
  </si>
  <si>
    <t>1:16.143</t>
  </si>
  <si>
    <t>1:16.756</t>
  </si>
  <si>
    <t>1:16.768</t>
  </si>
  <si>
    <t>1:15.811</t>
  </si>
  <si>
    <t>1:16.394</t>
  </si>
  <si>
    <t>1:17.058</t>
  </si>
  <si>
    <t>1:16.835</t>
  </si>
  <si>
    <t>1:17.033</t>
  </si>
  <si>
    <t>1:17.542</t>
  </si>
  <si>
    <t>1:16.832</t>
  </si>
  <si>
    <t>1:16.413</t>
  </si>
  <si>
    <t>1:17.446</t>
  </si>
  <si>
    <t>1:17.319</t>
  </si>
  <si>
    <t>1:20.031</t>
  </si>
  <si>
    <t>01:26:59</t>
  </si>
  <si>
    <t>+12.860</t>
  </si>
  <si>
    <t>+23.769</t>
  </si>
  <si>
    <t>+8.504</t>
  </si>
  <si>
    <t>+2.105</t>
  </si>
  <si>
    <t>+2.166</t>
  </si>
  <si>
    <t>+14.770</t>
  </si>
  <si>
    <t>+4.648</t>
  </si>
  <si>
    <t>+5.206</t>
  </si>
  <si>
    <t>+16.580</t>
  </si>
  <si>
    <t>1:13.846</t>
  </si>
  <si>
    <t>1:14.486</t>
  </si>
  <si>
    <t>1:14.448</t>
  </si>
  <si>
    <t>1:14.760</t>
  </si>
  <si>
    <t>1:13.930</t>
  </si>
  <si>
    <t>1:14.676</t>
  </si>
  <si>
    <t>1:14.991</t>
  </si>
  <si>
    <t>1:15.226</t>
  </si>
  <si>
    <t>1:15.333</t>
  </si>
  <si>
    <t>1:15.317</t>
  </si>
  <si>
    <t>1:15.118</t>
  </si>
  <si>
    <t>1:14.962</t>
  </si>
  <si>
    <t>1:15.228</t>
  </si>
  <si>
    <t>1:15.683</t>
  </si>
  <si>
    <t>1:14.921</t>
  </si>
  <si>
    <t>1:15.887</t>
  </si>
  <si>
    <t>1:16.294</t>
  </si>
  <si>
    <t>1:16.182</t>
  </si>
  <si>
    <t>1:15.862</t>
  </si>
  <si>
    <t>1:16.713</t>
  </si>
  <si>
    <t>1:16.229</t>
  </si>
  <si>
    <t>00:30:37</t>
  </si>
  <si>
    <t>+4.362</t>
  </si>
  <si>
    <t>+2.839</t>
  </si>
  <si>
    <t>+6.748</t>
  </si>
  <si>
    <t>+2.646</t>
  </si>
  <si>
    <t>+5.175</t>
  </si>
  <si>
    <t>+3.791</t>
  </si>
  <si>
    <t>+6.957</t>
  </si>
  <si>
    <t>+1.709</t>
  </si>
  <si>
    <t>+6.103</t>
  </si>
  <si>
    <t>+2.097</t>
  </si>
  <si>
    <t>+1.026</t>
  </si>
  <si>
    <t>+4.328</t>
  </si>
  <si>
    <t>+3.785</t>
  </si>
  <si>
    <t>+1.809</t>
  </si>
  <si>
    <t>+8.158</t>
  </si>
  <si>
    <t>+2.048</t>
  </si>
  <si>
    <t>+1.233</t>
  </si>
  <si>
    <t>+2.174</t>
  </si>
  <si>
    <t>+2.288</t>
  </si>
  <si>
    <t>+3.856</t>
  </si>
  <si>
    <t>+3.281</t>
  </si>
  <si>
    <t>1:07.503</t>
  </si>
  <si>
    <t>1:07.664</t>
  </si>
  <si>
    <t>1:04.714</t>
  </si>
  <si>
    <t>1:05.416</t>
  </si>
  <si>
    <t>1:05.561</t>
  </si>
  <si>
    <t>1:04.677</t>
  </si>
  <si>
    <t>1:04.807</t>
  </si>
  <si>
    <t>1:05.541</t>
  </si>
  <si>
    <t>1:05.479</t>
  </si>
  <si>
    <t>1:06.571</t>
  </si>
  <si>
    <t>1:06.260</t>
  </si>
  <si>
    <t>1:05.843</t>
  </si>
  <si>
    <t>1:06.352</t>
  </si>
  <si>
    <t>1:05.771</t>
  </si>
  <si>
    <t>1:05.630</t>
  </si>
  <si>
    <t>1:07.607</t>
  </si>
  <si>
    <t>1:07.113</t>
  </si>
  <si>
    <t>1:06.414</t>
  </si>
  <si>
    <t>1:06.418</t>
  </si>
  <si>
    <t>1:06.077</t>
  </si>
  <si>
    <t>1:07.124</t>
  </si>
  <si>
    <t>1:08.986</t>
  </si>
  <si>
    <t>+3 круга</t>
  </si>
  <si>
    <t>01:21:05</t>
  </si>
  <si>
    <t>+15.438</t>
  </si>
  <si>
    <t>+24.263</t>
  </si>
  <si>
    <t>+0.556</t>
  </si>
  <si>
    <t>+1.920</t>
  </si>
  <si>
    <t>+19.819</t>
  </si>
  <si>
    <t>+1.861</t>
  </si>
  <si>
    <t>Rei Ishikawa</t>
  </si>
  <si>
    <t>Sofia Kjellberg</t>
  </si>
  <si>
    <t>Kenji Murakami</t>
  </si>
  <si>
    <t>1:28.075</t>
  </si>
  <si>
    <t>1:27.766</t>
  </si>
  <si>
    <t>1:28.798</t>
  </si>
  <si>
    <t>1:29.232</t>
  </si>
  <si>
    <t>1:29.706</t>
  </si>
  <si>
    <t>1:28.561</t>
  </si>
  <si>
    <t>1:29.295</t>
  </si>
  <si>
    <t>1:29.917</t>
  </si>
  <si>
    <t>1:29.926</t>
  </si>
  <si>
    <t>1:30.274</t>
  </si>
  <si>
    <t>1:30.960</t>
  </si>
  <si>
    <t>1:30.815</t>
  </si>
  <si>
    <t>1:31.839</t>
  </si>
  <si>
    <t>1:32.088</t>
  </si>
  <si>
    <t>1:32.136</t>
  </si>
  <si>
    <t>1:31.311</t>
  </si>
  <si>
    <t>1:31.568</t>
  </si>
  <si>
    <t>1:31.518</t>
  </si>
  <si>
    <t>1:31.661</t>
  </si>
  <si>
    <t>1:30.215</t>
  </si>
  <si>
    <t>1:32.859</t>
  </si>
  <si>
    <t>1:29.849</t>
  </si>
  <si>
    <t>01:20:29</t>
  </si>
  <si>
    <t>+14.935</t>
  </si>
  <si>
    <t>+0.942</t>
  </si>
  <si>
    <t>+20.830</t>
  </si>
  <si>
    <t>+14.098</t>
  </si>
  <si>
    <t>+3.841</t>
  </si>
  <si>
    <t>+8.077</t>
  </si>
  <si>
    <t>+1.143</t>
  </si>
  <si>
    <t>+23.102</t>
  </si>
  <si>
    <t>+0.663</t>
  </si>
  <si>
    <t>01:47:28</t>
  </si>
  <si>
    <t>+37.260</t>
  </si>
  <si>
    <t>+4.887</t>
  </si>
  <si>
    <t>+8.060</t>
  </si>
  <si>
    <t>+8.046</t>
  </si>
  <si>
    <t>+4.116</t>
  </si>
  <si>
    <t>+15.158</t>
  </si>
  <si>
    <t>1:25.587</t>
  </si>
  <si>
    <t>1:28.022</t>
  </si>
  <si>
    <t>1:28.359</t>
  </si>
  <si>
    <t>1:28.408</t>
  </si>
  <si>
    <t>1:28.450</t>
  </si>
  <si>
    <t>1:28.604</t>
  </si>
  <si>
    <t>1:28.642</t>
  </si>
  <si>
    <t>1:28.673</t>
  </si>
  <si>
    <t>1:28.857</t>
  </si>
  <si>
    <t>1:28.922</t>
  </si>
  <si>
    <t>1:29.453</t>
  </si>
  <si>
    <t>1:28.730</t>
  </si>
  <si>
    <t>1:27.930</t>
  </si>
  <si>
    <t>1:29.603</t>
  </si>
  <si>
    <t>1:29.826</t>
  </si>
  <si>
    <t>1:30.373</t>
  </si>
  <si>
    <t>1:28.968</t>
  </si>
  <si>
    <t>1:29.855</t>
  </si>
  <si>
    <t>1:30.174</t>
  </si>
  <si>
    <t>1:29.787</t>
  </si>
  <si>
    <t>1:30.480</t>
  </si>
  <si>
    <t>1:30.489</t>
  </si>
  <si>
    <t>01:16:12</t>
  </si>
  <si>
    <t>+0.558</t>
  </si>
  <si>
    <t>+1.751</t>
  </si>
  <si>
    <t>+0.510</t>
  </si>
  <si>
    <t>+4.491</t>
  </si>
  <si>
    <t>+10.007</t>
  </si>
  <si>
    <t>+2.855</t>
  </si>
  <si>
    <t>+15.241</t>
  </si>
  <si>
    <t>+26.369</t>
  </si>
  <si>
    <t>+7.619</t>
  </si>
  <si>
    <t>+7.000</t>
  </si>
  <si>
    <t>+1.538</t>
  </si>
  <si>
    <t>+1.042</t>
  </si>
  <si>
    <t>+4.889</t>
  </si>
  <si>
    <t>+4.397</t>
  </si>
  <si>
    <t>+7.400</t>
  </si>
  <si>
    <t>+2.337</t>
  </si>
  <si>
    <t>+1.420</t>
  </si>
  <si>
    <t>1:42.813</t>
  </si>
  <si>
    <t>1:44.080</t>
  </si>
  <si>
    <t>1:44.533</t>
  </si>
  <si>
    <t>1:44.666</t>
  </si>
  <si>
    <t>1:44.328</t>
  </si>
  <si>
    <t>1:44.506</t>
  </si>
  <si>
    <t>1:45.063</t>
  </si>
  <si>
    <t>1:45.264</t>
  </si>
  <si>
    <t>1:45.721</t>
  </si>
  <si>
    <t>1:45.890</t>
  </si>
  <si>
    <t>1:45.452</t>
  </si>
  <si>
    <t>1:45.266</t>
  </si>
  <si>
    <t>1:45.825</t>
  </si>
  <si>
    <t>1:45.267</t>
  </si>
  <si>
    <t>1:45.249</t>
  </si>
  <si>
    <t>1:46.378</t>
  </si>
  <si>
    <t>1:46.206</t>
  </si>
  <si>
    <t>1:46.722</t>
  </si>
  <si>
    <t>1:46.075</t>
  </si>
  <si>
    <t>1:52.551</t>
  </si>
  <si>
    <t>1:52.670</t>
  </si>
  <si>
    <t>1:53.120</t>
  </si>
  <si>
    <t>1:09.371</t>
  </si>
  <si>
    <t>1:09.687</t>
  </si>
  <si>
    <t>1:10.356</t>
  </si>
  <si>
    <t>1:10.876</t>
  </si>
  <si>
    <t>1:10.791</t>
  </si>
  <si>
    <t>1:11.194</t>
  </si>
  <si>
    <t>1:11.258</t>
  </si>
  <si>
    <t>1:11.667</t>
  </si>
  <si>
    <t>1:11.904</t>
  </si>
  <si>
    <t>1:11.460</t>
  </si>
  <si>
    <t>1:11.914</t>
  </si>
  <si>
    <t>1:11.985</t>
  </si>
  <si>
    <t>1:12.036</t>
  </si>
  <si>
    <t>1:12.554</t>
  </si>
  <si>
    <t>1:12.765</t>
  </si>
  <si>
    <t>1:12.814</t>
  </si>
  <si>
    <t>1:12.886</t>
  </si>
  <si>
    <t>1:14.828</t>
  </si>
  <si>
    <t>1:13.823</t>
  </si>
  <si>
    <t>1:13.919</t>
  </si>
  <si>
    <t>1:17.570</t>
  </si>
  <si>
    <t>01:20:19</t>
  </si>
  <si>
    <t>+2.852</t>
  </si>
  <si>
    <t>+0.302</t>
  </si>
  <si>
    <t>+0.509</t>
  </si>
  <si>
    <t>+8.355</t>
  </si>
  <si>
    <t>+9.220</t>
  </si>
  <si>
    <t>+0.765</t>
  </si>
  <si>
    <t>+1.501</t>
  </si>
  <si>
    <t>+0.494</t>
  </si>
  <si>
    <t>+3.528</t>
  </si>
  <si>
    <t>+2.948</t>
  </si>
  <si>
    <t>+2.630</t>
  </si>
  <si>
    <t>+0.289</t>
  </si>
  <si>
    <t>+4.495</t>
  </si>
  <si>
    <t>+5.791</t>
  </si>
  <si>
    <t>+2.280</t>
  </si>
  <si>
    <t>+0.463</t>
  </si>
  <si>
    <t>+1.469</t>
  </si>
  <si>
    <t>+3.548</t>
  </si>
  <si>
    <t>+7.014</t>
  </si>
  <si>
    <t>+4.766</t>
  </si>
  <si>
    <t>1:22.252</t>
  </si>
  <si>
    <t>1:23.701</t>
  </si>
  <si>
    <t>1:22.691</t>
  </si>
  <si>
    <t>1:22.394</t>
  </si>
  <si>
    <t>1:22.951</t>
  </si>
  <si>
    <t>1:23.430</t>
  </si>
  <si>
    <t>1:23.760</t>
  </si>
  <si>
    <t>1:23.469</t>
  </si>
  <si>
    <t>1:23.022</t>
  </si>
  <si>
    <t>1:23.125</t>
  </si>
  <si>
    <t>1:23.963</t>
  </si>
  <si>
    <t>1:23.806</t>
  </si>
  <si>
    <t>1:23.605</t>
  </si>
  <si>
    <t>1:24.675</t>
  </si>
  <si>
    <t>1:24.022</t>
  </si>
  <si>
    <t>1:24.678</t>
  </si>
  <si>
    <t>1:23.571</t>
  </si>
  <si>
    <t>1:24.683</t>
  </si>
  <si>
    <t>1:24.339</t>
  </si>
  <si>
    <t>1:25.063</t>
  </si>
  <si>
    <t>1:24.578</t>
  </si>
  <si>
    <t>1:23.832</t>
  </si>
  <si>
    <t>1:44.566</t>
  </si>
  <si>
    <t>1:44.635</t>
  </si>
  <si>
    <t>1:45.354</t>
  </si>
  <si>
    <t>1:45.484</t>
  </si>
  <si>
    <t>1:45.625</t>
  </si>
  <si>
    <t>1:45.796</t>
  </si>
  <si>
    <t>1:45.599</t>
  </si>
  <si>
    <t>1:45.456</t>
  </si>
  <si>
    <t>1:49.566</t>
  </si>
  <si>
    <t>1:45.894</t>
  </si>
  <si>
    <t>1:45.342</t>
  </si>
  <si>
    <t>1:45.798</t>
  </si>
  <si>
    <t>1:45.260</t>
  </si>
  <si>
    <t>1:46.325</t>
  </si>
  <si>
    <t>1:46.552</t>
  </si>
  <si>
    <t>1:46.663</t>
  </si>
  <si>
    <t>1:46.417</t>
  </si>
  <si>
    <t>1:47.895</t>
  </si>
  <si>
    <t>1:47.540</t>
  </si>
  <si>
    <t>1:47.421</t>
  </si>
  <si>
    <t>1:49.073</t>
  </si>
  <si>
    <t>1:48.282</t>
  </si>
  <si>
    <t>01:34:02</t>
  </si>
  <si>
    <t>+23.193</t>
  </si>
  <si>
    <t>+2.793</t>
  </si>
  <si>
    <t>+11.818</t>
  </si>
  <si>
    <t>+1.756</t>
  </si>
  <si>
    <t>+2.295</t>
  </si>
  <si>
    <t>+2.597</t>
  </si>
  <si>
    <t>+7.168</t>
  </si>
  <si>
    <t>+2.092</t>
  </si>
  <si>
    <t>+1.603</t>
  </si>
  <si>
    <t>+0.093</t>
  </si>
  <si>
    <t>+13.304</t>
  </si>
  <si>
    <t>+20.928</t>
  </si>
  <si>
    <t>+7.995</t>
  </si>
  <si>
    <t>1:36.887</t>
  </si>
  <si>
    <t>1:35.779</t>
  </si>
  <si>
    <t>1:36.924</t>
  </si>
  <si>
    <t>1:37.057</t>
  </si>
  <si>
    <t>1:37.207</t>
  </si>
  <si>
    <t>1:37.743</t>
  </si>
  <si>
    <t>1:37.869</t>
  </si>
  <si>
    <t>1:38.474</t>
  </si>
  <si>
    <t>1:37.966</t>
  </si>
  <si>
    <t>1:38.399</t>
  </si>
  <si>
    <t>1:38.263</t>
  </si>
  <si>
    <t>1:38.374</t>
  </si>
  <si>
    <t>1:37.913</t>
  </si>
  <si>
    <t>1:38.861</t>
  </si>
  <si>
    <t>1:38.632</t>
  </si>
  <si>
    <t>1:39.996</t>
  </si>
  <si>
    <t>1:38.558</t>
  </si>
  <si>
    <t>1:39.409</t>
  </si>
  <si>
    <t>1:39.464</t>
  </si>
  <si>
    <t>1:39.980</t>
  </si>
  <si>
    <t>1:39.862</t>
  </si>
  <si>
    <t>+8.506</t>
  </si>
  <si>
    <t>00:31:09</t>
  </si>
  <si>
    <t>+14.073</t>
  </si>
  <si>
    <t>+7.061</t>
  </si>
  <si>
    <t>+1.267</t>
  </si>
  <si>
    <t>+0.981</t>
  </si>
  <si>
    <t>+0.555</t>
  </si>
  <si>
    <t>+5.514</t>
  </si>
  <si>
    <t>+3.944</t>
  </si>
  <si>
    <t>+4.454</t>
  </si>
  <si>
    <t>+0.581</t>
  </si>
  <si>
    <t>+0.391</t>
  </si>
  <si>
    <t>+3.580</t>
  </si>
  <si>
    <t>+0.462</t>
  </si>
  <si>
    <t>+2.540</t>
  </si>
  <si>
    <t>+7.440</t>
  </si>
  <si>
    <t>+4.081</t>
  </si>
  <si>
    <t>+10.843</t>
  </si>
  <si>
    <t>+0.886</t>
  </si>
  <si>
    <t>+10.177</t>
  </si>
  <si>
    <t>01:34:00</t>
  </si>
  <si>
    <t>+48.424</t>
  </si>
  <si>
    <t>+5.098</t>
  </si>
  <si>
    <t>+24.792</t>
  </si>
  <si>
    <t>+3.720</t>
  </si>
  <si>
    <t>+3.653</t>
  </si>
  <si>
    <t>+0.904</t>
  </si>
  <si>
    <t>+3.912</t>
  </si>
  <si>
    <t>+1.129</t>
  </si>
  <si>
    <t>+4.592</t>
  </si>
  <si>
    <t>1:36.784</t>
  </si>
  <si>
    <t>1:37.346</t>
  </si>
  <si>
    <t>1:36.927</t>
  </si>
  <si>
    <t>1:36.808</t>
  </si>
  <si>
    <t>1:37.276</t>
  </si>
  <si>
    <t>1:37.476</t>
  </si>
  <si>
    <t>1:35.704</t>
  </si>
  <si>
    <t>1:37.230</t>
  </si>
  <si>
    <t>1:38.622</t>
  </si>
  <si>
    <t>1:37.867</t>
  </si>
  <si>
    <t>1:37.956</t>
  </si>
  <si>
    <t>1:35.582</t>
  </si>
  <si>
    <t>1:37.901</t>
  </si>
  <si>
    <t>1:38.590</t>
  </si>
  <si>
    <t>1:37.971</t>
  </si>
  <si>
    <t>1:38.101</t>
  </si>
  <si>
    <t>1:37.678</t>
  </si>
  <si>
    <t>1:37.627</t>
  </si>
  <si>
    <t>1:39.702</t>
  </si>
  <si>
    <t>1:39.828</t>
  </si>
  <si>
    <t>1:42.753</t>
  </si>
  <si>
    <t>01:40:46</t>
  </si>
  <si>
    <t>+1.388</t>
  </si>
  <si>
    <t>+0.386</t>
  </si>
  <si>
    <t>+1.599</t>
  </si>
  <si>
    <t>+0.405</t>
  </si>
  <si>
    <t>+0.447</t>
  </si>
  <si>
    <t>+0.439</t>
  </si>
  <si>
    <t>+0.969</t>
  </si>
  <si>
    <t>+1.075</t>
  </si>
  <si>
    <t>1:16.908</t>
  </si>
  <si>
    <t>1:16.703</t>
  </si>
  <si>
    <t>1:16.433</t>
  </si>
  <si>
    <t>1:17.454</t>
  </si>
  <si>
    <t>1:17.697</t>
  </si>
  <si>
    <t>1:17.827</t>
  </si>
  <si>
    <t>1:18.768</t>
  </si>
  <si>
    <t>1:18.885</t>
  </si>
  <si>
    <t>1:18.889</t>
  </si>
  <si>
    <t>1:18.747</t>
  </si>
  <si>
    <t>1:18.676</t>
  </si>
  <si>
    <t>1:19.985</t>
  </si>
  <si>
    <t>1:19.345</t>
  </si>
  <si>
    <t>1:19.433</t>
  </si>
  <si>
    <t>1:19.657</t>
  </si>
  <si>
    <t>1:19.284</t>
  </si>
  <si>
    <t>1:19.397</t>
  </si>
  <si>
    <t>1:19.307</t>
  </si>
  <si>
    <t>1:20.036</t>
  </si>
  <si>
    <t>1:21.000</t>
  </si>
  <si>
    <t>1:22.290</t>
  </si>
  <si>
    <t>1:11.520</t>
  </si>
  <si>
    <t>1:12.272</t>
  </si>
  <si>
    <t>1:12.247</t>
  </si>
  <si>
    <t>1:11.648</t>
  </si>
  <si>
    <t>1:12.152</t>
  </si>
  <si>
    <t>1:12.523</t>
  </si>
  <si>
    <t>1:12.288</t>
  </si>
  <si>
    <t>1:11.339</t>
  </si>
  <si>
    <t>1:12.150</t>
  </si>
  <si>
    <t>1:12.349</t>
  </si>
  <si>
    <t>1:12.207</t>
  </si>
  <si>
    <t>1:11.259</t>
  </si>
  <si>
    <t>1:12.661</t>
  </si>
  <si>
    <t>1:12.359</t>
  </si>
  <si>
    <t>1:12.464</t>
  </si>
  <si>
    <t>1:12.167</t>
  </si>
  <si>
    <t>1:12.424</t>
  </si>
  <si>
    <t>1:12.622</t>
  </si>
  <si>
    <t>1:10.869</t>
  </si>
  <si>
    <t>1:12.157</t>
  </si>
  <si>
    <t>1:12.432</t>
  </si>
  <si>
    <t>00:28:26</t>
  </si>
  <si>
    <t>+4.251</t>
  </si>
  <si>
    <t>+0.223</t>
  </si>
  <si>
    <t>+3.742</t>
  </si>
  <si>
    <t>+3.333</t>
  </si>
  <si>
    <t>+4.545</t>
  </si>
  <si>
    <t>+2.972</t>
  </si>
  <si>
    <t>+0.933</t>
  </si>
  <si>
    <t>+0.095</t>
  </si>
  <si>
    <t>+4.905</t>
  </si>
  <si>
    <t>+4.621</t>
  </si>
  <si>
    <t>+0.229</t>
  </si>
  <si>
    <t>+3.544</t>
  </si>
  <si>
    <t>+6.900</t>
  </si>
  <si>
    <t>+5.555</t>
  </si>
  <si>
    <t>+0.005</t>
  </si>
  <si>
    <t>+0.102</t>
  </si>
  <si>
    <t>+0.057</t>
  </si>
  <si>
    <t>01:25:52</t>
  </si>
  <si>
    <t>+7.301</t>
  </si>
  <si>
    <t>+4.329</t>
  </si>
  <si>
    <t>+5.918</t>
  </si>
  <si>
    <t>+0.075</t>
  </si>
  <si>
    <t>+0.438</t>
  </si>
  <si>
    <t>+0.383</t>
  </si>
  <si>
    <t>+0.268</t>
  </si>
  <si>
    <t>+0.125</t>
  </si>
  <si>
    <t>+2.632</t>
  </si>
  <si>
    <t>+8.407</t>
  </si>
  <si>
    <t>+3.106</t>
  </si>
  <si>
    <t>+6.037</t>
  </si>
  <si>
    <t>+6.687</t>
  </si>
  <si>
    <t>+2.130</t>
  </si>
  <si>
    <t>+0.084</t>
  </si>
  <si>
    <t>+0.741</t>
  </si>
  <si>
    <t>+10.266</t>
  </si>
  <si>
    <t>+2.979</t>
  </si>
  <si>
    <t>1:09.599</t>
  </si>
  <si>
    <t>1:11.823</t>
  </si>
  <si>
    <t>1:14.908</t>
  </si>
  <si>
    <t>1:13.089</t>
  </si>
  <si>
    <t>1:11.836</t>
  </si>
  <si>
    <t>1:10.915</t>
  </si>
  <si>
    <t>1:11.044</t>
  </si>
  <si>
    <t>1:10.181</t>
  </si>
  <si>
    <t>1:10.555</t>
  </si>
  <si>
    <t>1:09.759</t>
  </si>
  <si>
    <t>1:10.638</t>
  </si>
  <si>
    <t>1:10.131</t>
  </si>
  <si>
    <t>1:11.106</t>
  </si>
  <si>
    <t>1:11.100</t>
  </si>
  <si>
    <t>1:10.928</t>
  </si>
  <si>
    <t>1:10.146</t>
  </si>
  <si>
    <t>1:11.845</t>
  </si>
  <si>
    <t>1:11.364</t>
  </si>
  <si>
    <t>1:11.746</t>
  </si>
  <si>
    <t>1:09.983</t>
  </si>
  <si>
    <t>1:12.414</t>
  </si>
  <si>
    <t>1:11.204</t>
  </si>
  <si>
    <t>01:22:59</t>
  </si>
  <si>
    <t>+1.422</t>
  </si>
  <si>
    <t>+0.190</t>
  </si>
  <si>
    <t>+0.208</t>
  </si>
  <si>
    <t>+6.966</t>
  </si>
  <si>
    <t>+0.128</t>
  </si>
  <si>
    <t>+4.109</t>
  </si>
  <si>
    <t>+2.167</t>
  </si>
  <si>
    <t>+0.193</t>
  </si>
  <si>
    <t>+27.564</t>
  </si>
  <si>
    <t>+0.398</t>
  </si>
  <si>
    <t>+9.467</t>
  </si>
  <si>
    <t>+27.102</t>
  </si>
  <si>
    <t>+5.992</t>
  </si>
  <si>
    <t>1:38.077</t>
  </si>
  <si>
    <t>1:37.643</t>
  </si>
  <si>
    <t>1:37.482</t>
  </si>
  <si>
    <t>1:37.324</t>
  </si>
  <si>
    <t>1:36.841</t>
  </si>
  <si>
    <t>1:38.450</t>
  </si>
  <si>
    <t>1:37.978</t>
  </si>
  <si>
    <t>1:37.823</t>
  </si>
  <si>
    <t>1:36.884</t>
  </si>
  <si>
    <t>1:37.684</t>
  </si>
  <si>
    <t>1:38.587</t>
  </si>
  <si>
    <t>1:38.909</t>
  </si>
  <si>
    <t>1:40.038</t>
  </si>
  <si>
    <t>1:39.569</t>
  </si>
  <si>
    <t>1:40.479</t>
  </si>
  <si>
    <t>1:42.414</t>
  </si>
  <si>
    <t>01:25:56</t>
  </si>
  <si>
    <t>+8.380</t>
  </si>
  <si>
    <t>+21.677</t>
  </si>
  <si>
    <t>+4.346</t>
  </si>
  <si>
    <t>+0.300</t>
  </si>
  <si>
    <t>+3.624</t>
  </si>
  <si>
    <t>+3.163</t>
  </si>
  <si>
    <t>+4.937</t>
  </si>
  <si>
    <t>+19.104</t>
  </si>
  <si>
    <t>+2.334</t>
  </si>
  <si>
    <t>+5.215</t>
  </si>
  <si>
    <t>+14.470</t>
  </si>
  <si>
    <t>1:25.928</t>
  </si>
  <si>
    <t>1:26.895</t>
  </si>
  <si>
    <t>1:25.995</t>
  </si>
  <si>
    <t>1:26.582</t>
  </si>
  <si>
    <t>1:26.667</t>
  </si>
  <si>
    <t>1:26.683</t>
  </si>
  <si>
    <t>1:26.158</t>
  </si>
  <si>
    <t>1:26.422</t>
  </si>
  <si>
    <t>1:27.736</t>
  </si>
  <si>
    <t>1:26.754</t>
  </si>
  <si>
    <t>1:27.620</t>
  </si>
  <si>
    <t>1:28.588</t>
  </si>
  <si>
    <t>1:27.407</t>
  </si>
  <si>
    <t>1:27.471</t>
  </si>
  <si>
    <t>1:27.732</t>
  </si>
  <si>
    <t>1:26.566</t>
  </si>
  <si>
    <t>1:27.196</t>
  </si>
  <si>
    <t>1:27.084</t>
  </si>
  <si>
    <t>1:26.881</t>
  </si>
  <si>
    <t>1:29.169</t>
  </si>
  <si>
    <t>1:27.172</t>
  </si>
  <si>
    <t>1:29.209</t>
  </si>
  <si>
    <t>1:23.773</t>
  </si>
  <si>
    <t>1:24.367</t>
  </si>
  <si>
    <t>1:24.340</t>
  </si>
  <si>
    <t>1:24.958</t>
  </si>
  <si>
    <t>1:24.730</t>
  </si>
  <si>
    <t>1:25.138</t>
  </si>
  <si>
    <t>1:24.870</t>
  </si>
  <si>
    <t>1:24.129</t>
  </si>
  <si>
    <t>1:25.348</t>
  </si>
  <si>
    <t>1:25.067</t>
  </si>
  <si>
    <t>1:25.140</t>
  </si>
  <si>
    <t>1:26.252</t>
  </si>
  <si>
    <t>1:25.032</t>
  </si>
  <si>
    <t>1:25.409</t>
  </si>
  <si>
    <t>1:25.734</t>
  </si>
  <si>
    <t>1:25.496</t>
  </si>
  <si>
    <t>1:25.427</t>
  </si>
  <si>
    <t>1:28.185</t>
  </si>
  <si>
    <t>1:26.906</t>
  </si>
  <si>
    <t>1:27.711</t>
  </si>
  <si>
    <t>1:28.147</t>
  </si>
  <si>
    <t>1:30.197</t>
  </si>
  <si>
    <t>01:32:54</t>
  </si>
  <si>
    <t>+6.380</t>
  </si>
  <si>
    <t>+2.747</t>
  </si>
  <si>
    <t>+1.036</t>
  </si>
  <si>
    <t>+1.902</t>
  </si>
  <si>
    <t>+0.725</t>
  </si>
  <si>
    <t>+0.659</t>
  </si>
  <si>
    <t>+0.217</t>
  </si>
  <si>
    <t>+2.776</t>
  </si>
  <si>
    <t>+0.331</t>
  </si>
  <si>
    <t>+3.373</t>
  </si>
  <si>
    <t>+0.209</t>
  </si>
  <si>
    <t>+1.048</t>
  </si>
  <si>
    <t>+3.971</t>
  </si>
  <si>
    <t>+1.440</t>
  </si>
  <si>
    <t>+0.444</t>
  </si>
  <si>
    <t>+0.265</t>
  </si>
  <si>
    <t>+11.981</t>
  </si>
  <si>
    <t>+0.175</t>
  </si>
  <si>
    <t>+39.671</t>
  </si>
  <si>
    <t>01:45:21</t>
  </si>
  <si>
    <t>1:34.586</t>
  </si>
  <si>
    <t>1:34.903</t>
  </si>
  <si>
    <t>1:35.188</t>
  </si>
  <si>
    <t>1:34.751</t>
  </si>
  <si>
    <t>1:35.740</t>
  </si>
  <si>
    <t>1:35.047</t>
  </si>
  <si>
    <t>1:36.388</t>
  </si>
  <si>
    <t>1:35.304</t>
  </si>
  <si>
    <t>1:36.702</t>
  </si>
  <si>
    <t>1:35.899</t>
  </si>
  <si>
    <t>1:37.133</t>
  </si>
  <si>
    <t>1:36.021</t>
  </si>
  <si>
    <t>1:37.655</t>
  </si>
  <si>
    <t>1:36.205</t>
  </si>
  <si>
    <t>1:38.112</t>
  </si>
  <si>
    <t>1:38.987</t>
  </si>
  <si>
    <t>1:37.402</t>
  </si>
  <si>
    <t>1:39.331</t>
  </si>
  <si>
    <t>1:37.903</t>
  </si>
  <si>
    <t>1:40.228</t>
  </si>
  <si>
    <t>1:38.527</t>
  </si>
  <si>
    <t>+1.842</t>
  </si>
  <si>
    <t>+3.503</t>
  </si>
  <si>
    <t>+0.937</t>
  </si>
  <si>
    <t>+4.218</t>
  </si>
  <si>
    <t>+2.764</t>
  </si>
  <si>
    <t>+6.375</t>
  </si>
  <si>
    <t>+1.589</t>
  </si>
  <si>
    <t>+7.432</t>
  </si>
  <si>
    <t>+3.128</t>
  </si>
  <si>
    <t>+8.417</t>
  </si>
  <si>
    <t>+2.583</t>
  </si>
  <si>
    <t>+5.691</t>
  </si>
  <si>
    <t>+4.256</t>
  </si>
  <si>
    <t>+7.804</t>
  </si>
  <si>
    <t>1:25.754</t>
  </si>
  <si>
    <t>00:34:39</t>
  </si>
  <si>
    <t>+0.842</t>
  </si>
  <si>
    <t>+1.276</t>
  </si>
  <si>
    <t>+0.593</t>
  </si>
  <si>
    <t>+2.184</t>
  </si>
  <si>
    <t>+0.967</t>
  </si>
  <si>
    <t>+3.205</t>
  </si>
  <si>
    <t>+1.418</t>
  </si>
  <si>
    <t>+0.732</t>
  </si>
  <si>
    <t>+4.356</t>
  </si>
  <si>
    <t>+2.091</t>
  </si>
  <si>
    <t>+0.654</t>
  </si>
  <si>
    <t>+3.478</t>
  </si>
  <si>
    <t>+1.309</t>
  </si>
  <si>
    <t>+5.267</t>
  </si>
  <si>
    <t>+0.881</t>
  </si>
  <si>
    <t>+2.943</t>
  </si>
  <si>
    <t>+1.512</t>
  </si>
  <si>
    <t>+3.116</t>
  </si>
  <si>
    <t>+0.997</t>
  </si>
  <si>
    <t>+2.584</t>
  </si>
  <si>
    <t>+1.731</t>
  </si>
  <si>
    <t>1:26.213</t>
  </si>
  <si>
    <t>1:27.005</t>
  </si>
  <si>
    <t>1:26.642</t>
  </si>
  <si>
    <t>1:27.891</t>
  </si>
  <si>
    <t>1:28.304</t>
  </si>
  <si>
    <t>1:27.977</t>
  </si>
  <si>
    <t>1:29.152</t>
  </si>
  <si>
    <t>1:28.746</t>
  </si>
  <si>
    <t>1:30.083</t>
  </si>
  <si>
    <t>1:30.642</t>
  </si>
  <si>
    <t>1:29.914</t>
  </si>
  <si>
    <t>1:31.527</t>
  </si>
  <si>
    <t>1:32.004</t>
  </si>
  <si>
    <t>1:31.288</t>
  </si>
  <si>
    <t>1:32.873</t>
  </si>
  <si>
    <t>1:33.412</t>
  </si>
  <si>
    <t>1:32.765</t>
  </si>
  <si>
    <t>1:34.205</t>
  </si>
  <si>
    <t>1:33.987</t>
  </si>
  <si>
    <t>1:34.892</t>
  </si>
  <si>
    <t>1:35.437</t>
  </si>
  <si>
    <t>Qualification</t>
  </si>
  <si>
    <t>Race_Pilots</t>
  </si>
  <si>
    <t>Race_Teams</t>
  </si>
  <si>
    <t>Код</t>
  </si>
  <si>
    <t>Название</t>
  </si>
  <si>
    <t>BAH</t>
  </si>
  <si>
    <t>SAU</t>
  </si>
  <si>
    <t>Саудовская Аравия</t>
  </si>
  <si>
    <t>AUS</t>
  </si>
  <si>
    <t>JPN</t>
  </si>
  <si>
    <t>MIA</t>
  </si>
  <si>
    <t>Эмилия-Романья</t>
  </si>
  <si>
    <t>CAN</t>
  </si>
  <si>
    <t>Австрия (Спринт)</t>
  </si>
  <si>
    <t>AUT</t>
  </si>
  <si>
    <t>GBR</t>
  </si>
  <si>
    <t>HUN</t>
  </si>
  <si>
    <t>BEL</t>
  </si>
  <si>
    <t>NED</t>
  </si>
  <si>
    <t>ITA</t>
  </si>
  <si>
    <t>Италия</t>
  </si>
  <si>
    <t>AZE</t>
  </si>
  <si>
    <t>USA</t>
  </si>
  <si>
    <t>MEX</t>
  </si>
  <si>
    <t>BRA</t>
  </si>
  <si>
    <t>Катар (Спринт)</t>
  </si>
  <si>
    <t>QAT</t>
  </si>
  <si>
    <t>Абу-Даби</t>
  </si>
  <si>
    <t>IMO</t>
  </si>
  <si>
    <t>MON</t>
  </si>
  <si>
    <t>SPA</t>
  </si>
  <si>
    <t>SGP</t>
  </si>
  <si>
    <t>VEG</t>
  </si>
  <si>
    <t>UAE</t>
  </si>
  <si>
    <t xml:space="preserve">Остин </t>
  </si>
  <si>
    <t>CHI_S</t>
  </si>
  <si>
    <t>CHI</t>
  </si>
  <si>
    <t>MIA_S</t>
  </si>
  <si>
    <t>AUT_S</t>
  </si>
  <si>
    <t>USA_S</t>
  </si>
  <si>
    <t>BRA_S</t>
  </si>
  <si>
    <t>QAT_S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</si>
</sst>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151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CCC00"/>
        <bgColor indexed="64"/>
      </patternFill>
    </fill>
    <fill>
      <patternFill patternType="solid">
        <fgColor rgb="FF1E41FF"/>
        <bgColor indexed="64"/>
      </patternFill>
    </fill>
    <fill>
      <patternFill patternType="solid">
        <fgColor rgb="FF00D2BE"/>
        <bgColor indexed="64"/>
      </patternFill>
    </fill>
    <fill>
      <patternFill patternType="solid">
        <fgColor rgb="FFDC0000"/>
        <bgColor indexed="64"/>
      </patternFill>
    </fill>
    <fill>
      <patternFill patternType="solid">
        <fgColor rgb="FFFF8700"/>
        <bgColor indexed="64"/>
      </patternFill>
    </fill>
    <fill>
      <patternFill patternType="solid">
        <fgColor rgb="FF006F62"/>
        <bgColor indexed="64"/>
      </patternFill>
    </fill>
    <fill>
      <patternFill patternType="solid">
        <fgColor rgb="FF52E252"/>
        <bgColor indexed="64"/>
      </patternFill>
    </fill>
    <fill>
      <patternFill patternType="solid">
        <fgColor rgb="FFB6BABD"/>
        <bgColor indexed="64"/>
      </patternFill>
    </fill>
    <fill>
      <patternFill patternType="solid">
        <fgColor rgb="FFEE12BA"/>
        <bgColor indexed="64"/>
      </patternFill>
    </fill>
    <fill>
      <patternFill patternType="solid">
        <fgColor rgb="FF018CFF"/>
        <bgColor indexed="64"/>
      </patternFill>
    </fill>
    <fill>
      <patternFill patternType="solid">
        <fgColor rgb="FFB9DC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847BD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5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6" borderId="3" xfId="0" applyFont="1" applyFill="1" applyBorder="1" applyAlignment="1"/>
    <xf numFmtId="0" fontId="3" fillId="16" borderId="0" xfId="0" applyFont="1" applyFill="1" applyBorder="1" applyAlignment="1"/>
    <xf numFmtId="49" fontId="7" fillId="9" borderId="1" xfId="0" applyNumberFormat="1" applyFont="1" applyFill="1" applyBorder="1" applyAlignment="1">
      <alignment horizontal="center" vertical="center"/>
    </xf>
    <xf numFmtId="49" fontId="0" fillId="13" borderId="1" xfId="0" applyNumberFormat="1" applyFont="1" applyFill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/>
    </xf>
    <xf numFmtId="49" fontId="7" fillId="13" borderId="1" xfId="0" applyNumberFormat="1" applyFont="1" applyFill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/>
    </xf>
    <xf numFmtId="49" fontId="0" fillId="7" borderId="1" xfId="0" applyNumberFormat="1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8847BD"/>
      <color rgb="FF1E41FF"/>
      <color rgb="FF52E252"/>
      <color rgb="FF018CFF"/>
      <color rgb="FF1F4E78"/>
      <color rgb="FF00D2BE"/>
      <color rgb="FFC0504D"/>
      <color rgb="FFFF8700"/>
      <color rgb="FFCCCC00"/>
      <color rgb="FFB9D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115" zoomScaleNormal="115" workbookViewId="0">
      <selection activeCell="A12" sqref="A12"/>
    </sheetView>
  </sheetViews>
  <sheetFormatPr defaultRowHeight="14.5" x14ac:dyDescent="0.35"/>
  <cols>
    <col min="1" max="1" width="40.08984375" bestFit="1" customWidth="1"/>
    <col min="2" max="2" width="15.08984375" bestFit="1" customWidth="1"/>
    <col min="3" max="3" width="15.36328125" bestFit="1" customWidth="1"/>
    <col min="4" max="4" width="16.36328125" bestFit="1" customWidth="1"/>
    <col min="5" max="5" width="17.453125" bestFit="1" customWidth="1"/>
    <col min="6" max="6" width="17.1796875" bestFit="1" customWidth="1"/>
    <col min="7" max="7" width="15.08984375" bestFit="1" customWidth="1"/>
    <col min="8" max="8" width="16.26953125" bestFit="1" customWidth="1"/>
    <col min="9" max="9" width="17.7265625" bestFit="1" customWidth="1"/>
    <col min="10" max="10" width="17" bestFit="1" customWidth="1"/>
    <col min="11" max="11" width="7.7265625" bestFit="1" customWidth="1"/>
    <col min="12" max="12" width="18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447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3" t="s">
        <v>11</v>
      </c>
      <c r="B2" s="3" t="s">
        <v>61</v>
      </c>
      <c r="C2" s="3" t="s">
        <v>65</v>
      </c>
      <c r="D2" s="3" t="s">
        <v>456</v>
      </c>
      <c r="E2" s="3" t="s">
        <v>126</v>
      </c>
      <c r="F2" s="3" t="s">
        <v>127</v>
      </c>
      <c r="G2" s="3" t="s">
        <v>128</v>
      </c>
      <c r="H2" s="3" t="s">
        <v>129</v>
      </c>
      <c r="I2" s="3" t="s">
        <v>130</v>
      </c>
      <c r="J2" s="3" t="s">
        <v>22</v>
      </c>
      <c r="K2" s="3">
        <v>4</v>
      </c>
      <c r="L2" s="3">
        <v>5</v>
      </c>
    </row>
    <row r="3" spans="1:12" x14ac:dyDescent="0.35">
      <c r="A3" s="4" t="s">
        <v>12</v>
      </c>
      <c r="B3" s="4" t="s">
        <v>64</v>
      </c>
      <c r="C3" s="4" t="s">
        <v>71</v>
      </c>
      <c r="D3" s="4" t="s">
        <v>455</v>
      </c>
      <c r="E3" s="4" t="s">
        <v>131</v>
      </c>
      <c r="F3" s="4" t="s">
        <v>132</v>
      </c>
      <c r="G3" s="4" t="s">
        <v>133</v>
      </c>
      <c r="H3" s="4" t="s">
        <v>134</v>
      </c>
      <c r="I3" s="4" t="s">
        <v>135</v>
      </c>
      <c r="J3" s="4" t="s">
        <v>23</v>
      </c>
      <c r="K3" s="4">
        <v>3</v>
      </c>
      <c r="L3" s="4">
        <v>4</v>
      </c>
    </row>
    <row r="4" spans="1:12" x14ac:dyDescent="0.35">
      <c r="A4" s="5" t="s">
        <v>13</v>
      </c>
      <c r="B4" s="5" t="s">
        <v>68</v>
      </c>
      <c r="C4" s="5" t="s">
        <v>62</v>
      </c>
      <c r="D4" s="5" t="s">
        <v>449</v>
      </c>
      <c r="E4" s="5" t="s">
        <v>136</v>
      </c>
      <c r="F4" s="5" t="s">
        <v>137</v>
      </c>
      <c r="G4" s="5" t="s">
        <v>138</v>
      </c>
      <c r="H4" s="5" t="s">
        <v>139</v>
      </c>
      <c r="I4" s="5" t="s">
        <v>140</v>
      </c>
      <c r="J4" s="5" t="s">
        <v>24</v>
      </c>
      <c r="K4" s="5">
        <v>2</v>
      </c>
      <c r="L4" s="5">
        <v>5</v>
      </c>
    </row>
    <row r="5" spans="1:12" x14ac:dyDescent="0.35">
      <c r="A5" s="6" t="s">
        <v>14</v>
      </c>
      <c r="B5" s="6" t="s">
        <v>72</v>
      </c>
      <c r="C5" s="6" t="s">
        <v>78</v>
      </c>
      <c r="D5" s="6" t="s">
        <v>448</v>
      </c>
      <c r="E5" s="6" t="s">
        <v>141</v>
      </c>
      <c r="F5" s="6" t="s">
        <v>142</v>
      </c>
      <c r="G5" s="6" t="s">
        <v>143</v>
      </c>
      <c r="H5" s="6" t="s">
        <v>144</v>
      </c>
      <c r="I5" s="6" t="s">
        <v>145</v>
      </c>
      <c r="J5" s="6" t="s">
        <v>25</v>
      </c>
      <c r="K5" s="6">
        <v>5</v>
      </c>
      <c r="L5" s="6">
        <v>2</v>
      </c>
    </row>
    <row r="6" spans="1:12" x14ac:dyDescent="0.35">
      <c r="A6" s="7" t="s">
        <v>15</v>
      </c>
      <c r="B6" s="7" t="s">
        <v>66</v>
      </c>
      <c r="C6" s="7" t="s">
        <v>74</v>
      </c>
      <c r="D6" s="7" t="s">
        <v>454</v>
      </c>
      <c r="E6" s="7" t="s">
        <v>146</v>
      </c>
      <c r="F6" s="7" t="s">
        <v>147</v>
      </c>
      <c r="G6" s="7" t="s">
        <v>148</v>
      </c>
      <c r="H6" s="7" t="s">
        <v>149</v>
      </c>
      <c r="I6" s="7" t="s">
        <v>150</v>
      </c>
      <c r="J6" s="7" t="s">
        <v>22</v>
      </c>
      <c r="K6" s="7">
        <v>1</v>
      </c>
      <c r="L6" s="7">
        <v>3</v>
      </c>
    </row>
    <row r="7" spans="1:12" x14ac:dyDescent="0.35">
      <c r="A7" s="10" t="s">
        <v>16</v>
      </c>
      <c r="B7" s="10" t="s">
        <v>70</v>
      </c>
      <c r="C7" s="10" t="s">
        <v>73</v>
      </c>
      <c r="D7" s="10" t="s">
        <v>453</v>
      </c>
      <c r="E7" s="10" t="s">
        <v>151</v>
      </c>
      <c r="F7" s="10" t="s">
        <v>152</v>
      </c>
      <c r="G7" s="10" t="s">
        <v>153</v>
      </c>
      <c r="H7" s="10" t="s">
        <v>154</v>
      </c>
      <c r="I7" s="10" t="s">
        <v>155</v>
      </c>
      <c r="J7" s="10" t="s">
        <v>26</v>
      </c>
      <c r="K7" s="10">
        <v>5</v>
      </c>
      <c r="L7" s="10">
        <v>4</v>
      </c>
    </row>
    <row r="8" spans="1:12" x14ac:dyDescent="0.35">
      <c r="A8" s="11" t="s">
        <v>17</v>
      </c>
      <c r="B8" s="11" t="s">
        <v>76</v>
      </c>
      <c r="C8" s="11" t="s">
        <v>125</v>
      </c>
      <c r="D8" s="11" t="s">
        <v>458</v>
      </c>
      <c r="E8" s="11" t="s">
        <v>156</v>
      </c>
      <c r="F8" s="11" t="s">
        <v>157</v>
      </c>
      <c r="G8" s="11" t="s">
        <v>158</v>
      </c>
      <c r="H8" s="11" t="s">
        <v>159</v>
      </c>
      <c r="I8" s="11" t="s">
        <v>160</v>
      </c>
      <c r="J8" s="11" t="s">
        <v>23</v>
      </c>
      <c r="K8" s="11">
        <v>2</v>
      </c>
      <c r="L8" s="11">
        <v>1</v>
      </c>
    </row>
    <row r="9" spans="1:12" x14ac:dyDescent="0.35">
      <c r="A9" s="12" t="s">
        <v>18</v>
      </c>
      <c r="B9" s="12" t="s">
        <v>67</v>
      </c>
      <c r="C9" s="12" t="s">
        <v>69</v>
      </c>
      <c r="D9" s="12" t="s">
        <v>452</v>
      </c>
      <c r="E9" s="12" t="s">
        <v>161</v>
      </c>
      <c r="F9" s="12" t="s">
        <v>162</v>
      </c>
      <c r="G9" s="12" t="s">
        <v>163</v>
      </c>
      <c r="H9" s="12" t="s">
        <v>164</v>
      </c>
      <c r="I9" s="12" t="s">
        <v>165</v>
      </c>
      <c r="J9" s="12" t="s">
        <v>25</v>
      </c>
      <c r="K9" s="12">
        <v>4</v>
      </c>
      <c r="L9" s="12">
        <v>3</v>
      </c>
    </row>
    <row r="10" spans="1:12" x14ac:dyDescent="0.35">
      <c r="A10" s="8" t="s">
        <v>19</v>
      </c>
      <c r="B10" s="8" t="s">
        <v>77</v>
      </c>
      <c r="C10" s="8" t="s">
        <v>80</v>
      </c>
      <c r="D10" s="8" t="s">
        <v>457</v>
      </c>
      <c r="E10" s="8" t="s">
        <v>166</v>
      </c>
      <c r="F10" s="8" t="s">
        <v>167</v>
      </c>
      <c r="G10" s="8" t="s">
        <v>168</v>
      </c>
      <c r="H10" s="8" t="s">
        <v>169</v>
      </c>
      <c r="I10" s="8" t="s">
        <v>170</v>
      </c>
      <c r="J10" s="8" t="s">
        <v>24</v>
      </c>
      <c r="K10" s="8">
        <v>1</v>
      </c>
      <c r="L10" s="8">
        <v>2</v>
      </c>
    </row>
    <row r="11" spans="1:12" x14ac:dyDescent="0.35">
      <c r="A11" s="9" t="s">
        <v>20</v>
      </c>
      <c r="B11" s="9" t="s">
        <v>75</v>
      </c>
      <c r="C11" s="9" t="s">
        <v>79</v>
      </c>
      <c r="D11" s="9" t="s">
        <v>451</v>
      </c>
      <c r="E11" s="9" t="s">
        <v>171</v>
      </c>
      <c r="F11" s="9" t="s">
        <v>172</v>
      </c>
      <c r="G11" s="9" t="s">
        <v>173</v>
      </c>
      <c r="H11" s="9" t="s">
        <v>174</v>
      </c>
      <c r="I11" s="9" t="s">
        <v>175</v>
      </c>
      <c r="J11" s="9" t="s">
        <v>26</v>
      </c>
      <c r="K11" s="9">
        <v>3</v>
      </c>
      <c r="L11" s="9">
        <v>1</v>
      </c>
    </row>
    <row r="12" spans="1:12" x14ac:dyDescent="0.35">
      <c r="A12" s="2" t="s">
        <v>21</v>
      </c>
      <c r="B12" s="2" t="s">
        <v>63</v>
      </c>
      <c r="C12" s="2" t="s">
        <v>81</v>
      </c>
      <c r="D12" s="2" t="s">
        <v>450</v>
      </c>
      <c r="E12" s="2" t="s">
        <v>176</v>
      </c>
      <c r="F12" s="2" t="s">
        <v>156</v>
      </c>
      <c r="G12" s="2" t="s">
        <v>598</v>
      </c>
      <c r="H12" s="2" t="s">
        <v>599</v>
      </c>
      <c r="I12" s="2" t="s">
        <v>600</v>
      </c>
      <c r="J12" s="2" t="s">
        <v>22</v>
      </c>
      <c r="K12" s="2">
        <v>5</v>
      </c>
      <c r="L12" s="2">
        <v>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3902-3D5F-40AC-A0F8-8B2127AC3A26}">
  <dimension ref="A1:AG23"/>
  <sheetViews>
    <sheetView zoomScale="80" zoomScaleNormal="80" workbookViewId="0">
      <selection activeCell="V33" sqref="V33"/>
    </sheetView>
  </sheetViews>
  <sheetFormatPr defaultRowHeight="14.5" x14ac:dyDescent="0.35"/>
  <cols>
    <col min="1" max="1" width="8.26953125" bestFit="1" customWidth="1"/>
    <col min="2" max="2" width="15.36328125" bestFit="1" customWidth="1"/>
    <col min="3" max="3" width="8.08984375" bestFit="1" customWidth="1"/>
    <col min="4" max="4" width="4.26953125" bestFit="1" customWidth="1"/>
    <col min="5" max="5" width="9.90625" bestFit="1" customWidth="1"/>
    <col min="6" max="6" width="7.36328125" bestFit="1" customWidth="1"/>
    <col min="7" max="7" width="13.7265625" bestFit="1" customWidth="1"/>
    <col min="8" max="8" width="5.90625" bestFit="1" customWidth="1"/>
    <col min="9" max="9" width="16" bestFit="1" customWidth="1"/>
    <col min="10" max="10" width="8.1796875" bestFit="1" customWidth="1"/>
    <col min="11" max="11" width="6.7265625" bestFit="1" customWidth="1"/>
    <col min="12" max="12" width="7.81640625" bestFit="1" customWidth="1"/>
    <col min="13" max="13" width="7.1796875" bestFit="1" customWidth="1"/>
    <col min="14" max="14" width="8.1796875" bestFit="1" customWidth="1"/>
    <col min="15" max="15" width="15.6328125" bestFit="1" customWidth="1"/>
    <col min="16" max="16" width="7.81640625" bestFit="1" customWidth="1"/>
    <col min="17" max="17" width="15.54296875" bestFit="1" customWidth="1"/>
    <col min="18" max="18" width="7.90625" bestFit="1" customWidth="1"/>
    <col min="19" max="19" width="7.81640625" bestFit="1" customWidth="1"/>
    <col min="20" max="20" width="12.26953125" bestFit="1" customWidth="1"/>
    <col min="21" max="21" width="6.81640625" bestFit="1" customWidth="1"/>
    <col min="22" max="22" width="12.90625" bestFit="1" customWidth="1"/>
    <col min="23" max="23" width="8.90625" bestFit="1" customWidth="1"/>
    <col min="24" max="24" width="13.81640625" bestFit="1" customWidth="1"/>
    <col min="25" max="25" width="6" bestFit="1" customWidth="1"/>
    <col min="26" max="26" width="8.453125" bestFit="1" customWidth="1"/>
    <col min="27" max="27" width="17" bestFit="1" customWidth="1"/>
    <col min="28" max="28" width="9.08984375" bestFit="1" customWidth="1"/>
    <col min="29" max="29" width="9.1796875" bestFit="1" customWidth="1"/>
    <col min="30" max="30" width="13.6328125" bestFit="1" customWidth="1"/>
    <col min="31" max="31" width="5.81640625" bestFit="1" customWidth="1"/>
    <col min="32" max="32" width="4.453125" bestFit="1" customWidth="1"/>
    <col min="33" max="33" width="5.81640625" bestFit="1" customWidth="1"/>
  </cols>
  <sheetData>
    <row r="1" spans="1:33" x14ac:dyDescent="0.35">
      <c r="A1" s="13" t="s">
        <v>349</v>
      </c>
      <c r="B1" s="13" t="s">
        <v>29</v>
      </c>
      <c r="C1" s="13" t="s">
        <v>30</v>
      </c>
      <c r="D1" s="13" t="s">
        <v>59</v>
      </c>
      <c r="E1" s="13" t="s">
        <v>31</v>
      </c>
      <c r="F1" s="13" t="s">
        <v>32</v>
      </c>
      <c r="G1" s="13" t="s">
        <v>37</v>
      </c>
      <c r="H1" s="13" t="s">
        <v>33</v>
      </c>
      <c r="I1" s="13" t="s">
        <v>38</v>
      </c>
      <c r="J1" s="13" t="s">
        <v>34</v>
      </c>
      <c r="K1" s="13" t="s">
        <v>35</v>
      </c>
      <c r="L1" s="13" t="s">
        <v>36</v>
      </c>
      <c r="M1" s="13" t="s">
        <v>39</v>
      </c>
      <c r="N1" s="13" t="s">
        <v>40</v>
      </c>
      <c r="O1" s="13" t="s">
        <v>41</v>
      </c>
      <c r="P1" s="13" t="s">
        <v>42</v>
      </c>
      <c r="Q1" s="13" t="s">
        <v>43</v>
      </c>
      <c r="R1" s="13" t="s">
        <v>44</v>
      </c>
      <c r="S1" s="13" t="s">
        <v>45</v>
      </c>
      <c r="T1" s="13" t="s">
        <v>46</v>
      </c>
      <c r="U1" s="13" t="s">
        <v>47</v>
      </c>
      <c r="V1" s="13" t="s">
        <v>48</v>
      </c>
      <c r="W1" s="13" t="s">
        <v>49</v>
      </c>
      <c r="X1" s="13" t="s">
        <v>52</v>
      </c>
      <c r="Y1" s="13" t="s">
        <v>50</v>
      </c>
      <c r="Z1" s="13" t="s">
        <v>51</v>
      </c>
      <c r="AA1" s="13" t="s">
        <v>53</v>
      </c>
      <c r="AB1" s="13" t="s">
        <v>54</v>
      </c>
      <c r="AC1" s="13" t="s">
        <v>55</v>
      </c>
      <c r="AD1" s="13" t="s">
        <v>56</v>
      </c>
      <c r="AE1" s="13" t="s">
        <v>57</v>
      </c>
      <c r="AF1" s="13" t="s">
        <v>58</v>
      </c>
      <c r="AG1" s="14" t="s">
        <v>83</v>
      </c>
    </row>
    <row r="2" spans="1:33" x14ac:dyDescent="0.35">
      <c r="A2" s="46">
        <v>1</v>
      </c>
      <c r="B2" s="2" t="s">
        <v>63</v>
      </c>
      <c r="C2" s="2">
        <v>15</v>
      </c>
      <c r="D2" s="2" t="s">
        <v>82</v>
      </c>
      <c r="E2" s="2"/>
      <c r="F2" s="2">
        <v>25</v>
      </c>
      <c r="G2" s="2">
        <v>8</v>
      </c>
      <c r="H2" s="2">
        <v>25</v>
      </c>
      <c r="I2" s="2">
        <v>7</v>
      </c>
      <c r="J2" s="2">
        <v>25</v>
      </c>
      <c r="K2" s="51">
        <v>26</v>
      </c>
      <c r="L2" s="51">
        <v>26</v>
      </c>
      <c r="M2" s="2">
        <v>25</v>
      </c>
      <c r="N2" s="2">
        <v>25</v>
      </c>
      <c r="O2" s="51">
        <v>8</v>
      </c>
      <c r="P2" s="2">
        <v>25</v>
      </c>
      <c r="Q2" s="2">
        <v>25</v>
      </c>
      <c r="R2" s="2">
        <v>15</v>
      </c>
      <c r="S2" s="2">
        <v>15</v>
      </c>
      <c r="T2" s="51">
        <v>19</v>
      </c>
      <c r="U2" s="51">
        <v>26</v>
      </c>
      <c r="V2" s="2">
        <v>25</v>
      </c>
      <c r="W2" s="2">
        <v>4</v>
      </c>
      <c r="X2" s="2">
        <v>8</v>
      </c>
      <c r="Y2" s="2">
        <v>25</v>
      </c>
      <c r="Z2" s="62">
        <v>25</v>
      </c>
      <c r="AA2" s="87"/>
      <c r="AB2" s="62">
        <v>18</v>
      </c>
      <c r="AC2" s="62">
        <v>25</v>
      </c>
      <c r="AD2" s="62">
        <v>8</v>
      </c>
      <c r="AE2" s="62">
        <v>25</v>
      </c>
      <c r="AF2" s="87">
        <v>26</v>
      </c>
      <c r="AG2" s="46">
        <f t="shared" ref="AG2:AG23" si="0">SUM(C2:AF2)</f>
        <v>529</v>
      </c>
    </row>
    <row r="3" spans="1:33" x14ac:dyDescent="0.35">
      <c r="A3" s="47">
        <v>2</v>
      </c>
      <c r="B3" s="3" t="s">
        <v>61</v>
      </c>
      <c r="C3" s="3">
        <v>25</v>
      </c>
      <c r="D3" s="3">
        <v>18</v>
      </c>
      <c r="E3" s="3">
        <v>25</v>
      </c>
      <c r="F3" s="3">
        <v>18</v>
      </c>
      <c r="G3" s="3">
        <v>7</v>
      </c>
      <c r="H3" s="3">
        <v>18</v>
      </c>
      <c r="I3" s="3">
        <v>6</v>
      </c>
      <c r="J3" s="3">
        <v>15</v>
      </c>
      <c r="K3" s="3">
        <v>18</v>
      </c>
      <c r="L3" s="3">
        <v>15</v>
      </c>
      <c r="M3" s="50">
        <v>11</v>
      </c>
      <c r="N3" s="3">
        <v>18</v>
      </c>
      <c r="O3" s="3">
        <v>7</v>
      </c>
      <c r="P3" s="3">
        <v>18</v>
      </c>
      <c r="Q3" s="50">
        <v>19</v>
      </c>
      <c r="R3" s="3">
        <v>25</v>
      </c>
      <c r="S3" s="3">
        <v>18</v>
      </c>
      <c r="T3" s="3">
        <v>15</v>
      </c>
      <c r="U3" s="3">
        <v>12</v>
      </c>
      <c r="V3" s="3">
        <v>18</v>
      </c>
      <c r="W3" s="3">
        <v>25</v>
      </c>
      <c r="X3" s="50">
        <v>7</v>
      </c>
      <c r="Y3" s="3">
        <v>1</v>
      </c>
      <c r="Z3" s="63">
        <v>18</v>
      </c>
      <c r="AA3" s="63">
        <v>7</v>
      </c>
      <c r="AB3" s="63">
        <v>25</v>
      </c>
      <c r="AC3" s="63">
        <v>18</v>
      </c>
      <c r="AD3" s="86">
        <v>7</v>
      </c>
      <c r="AE3" s="63">
        <v>18</v>
      </c>
      <c r="AF3" s="63">
        <v>15</v>
      </c>
      <c r="AG3" s="47">
        <f t="shared" si="0"/>
        <v>467</v>
      </c>
    </row>
    <row r="4" spans="1:33" x14ac:dyDescent="0.35">
      <c r="A4" s="48">
        <v>3</v>
      </c>
      <c r="B4" s="4" t="s">
        <v>64</v>
      </c>
      <c r="C4" s="4">
        <v>12</v>
      </c>
      <c r="D4" s="51">
        <v>13</v>
      </c>
      <c r="E4" s="51">
        <v>5</v>
      </c>
      <c r="F4" s="4">
        <v>15</v>
      </c>
      <c r="G4" s="4">
        <v>2</v>
      </c>
      <c r="H4" s="51">
        <v>7</v>
      </c>
      <c r="I4" s="4">
        <v>4</v>
      </c>
      <c r="J4" s="4">
        <v>4</v>
      </c>
      <c r="K4" s="4">
        <v>8</v>
      </c>
      <c r="L4" s="4">
        <v>12</v>
      </c>
      <c r="M4" s="4">
        <v>1</v>
      </c>
      <c r="N4" s="4">
        <v>12</v>
      </c>
      <c r="O4" s="4"/>
      <c r="P4" s="4">
        <v>15</v>
      </c>
      <c r="Q4" s="4">
        <v>6</v>
      </c>
      <c r="R4" s="4">
        <v>8</v>
      </c>
      <c r="S4" s="4">
        <v>10</v>
      </c>
      <c r="T4" s="4">
        <v>12</v>
      </c>
      <c r="U4" s="4">
        <v>15</v>
      </c>
      <c r="V4" s="4">
        <v>15</v>
      </c>
      <c r="W4" s="4">
        <v>15</v>
      </c>
      <c r="X4" s="4">
        <v>5</v>
      </c>
      <c r="Y4" s="64">
        <v>18</v>
      </c>
      <c r="Z4" s="87">
        <v>11</v>
      </c>
      <c r="AA4" s="64">
        <v>5</v>
      </c>
      <c r="AB4" s="64">
        <v>15</v>
      </c>
      <c r="AC4" s="64">
        <v>10</v>
      </c>
      <c r="AD4" s="64">
        <v>5</v>
      </c>
      <c r="AE4" s="87">
        <v>9</v>
      </c>
      <c r="AF4" s="64">
        <v>18</v>
      </c>
      <c r="AG4" s="48">
        <f t="shared" si="0"/>
        <v>287</v>
      </c>
    </row>
    <row r="5" spans="1:33" x14ac:dyDescent="0.35">
      <c r="A5" s="45">
        <v>4</v>
      </c>
      <c r="B5" s="63" t="s">
        <v>65</v>
      </c>
      <c r="C5" s="63">
        <v>10</v>
      </c>
      <c r="D5" s="63" t="s">
        <v>82</v>
      </c>
      <c r="E5" s="63">
        <v>12</v>
      </c>
      <c r="F5" s="63">
        <v>4</v>
      </c>
      <c r="G5" s="63">
        <v>5</v>
      </c>
      <c r="H5" s="63" t="s">
        <v>82</v>
      </c>
      <c r="I5" s="63">
        <v>5</v>
      </c>
      <c r="J5" s="63">
        <v>10</v>
      </c>
      <c r="K5" s="63">
        <v>12</v>
      </c>
      <c r="L5" s="63">
        <v>8</v>
      </c>
      <c r="M5" s="63">
        <v>18</v>
      </c>
      <c r="N5" s="63">
        <v>4</v>
      </c>
      <c r="O5" s="63">
        <v>6</v>
      </c>
      <c r="P5" s="63">
        <v>10</v>
      </c>
      <c r="Q5" s="63">
        <v>15</v>
      </c>
      <c r="R5" s="63">
        <v>12</v>
      </c>
      <c r="S5" s="86">
        <v>13</v>
      </c>
      <c r="T5" s="63">
        <v>6</v>
      </c>
      <c r="U5" s="63">
        <v>8</v>
      </c>
      <c r="V5" s="63">
        <v>12</v>
      </c>
      <c r="W5" s="86">
        <v>19</v>
      </c>
      <c r="X5" s="63">
        <v>4</v>
      </c>
      <c r="Y5" s="63"/>
      <c r="Z5" s="63">
        <v>4</v>
      </c>
      <c r="AA5" s="63">
        <v>2</v>
      </c>
      <c r="AB5" s="63">
        <v>1</v>
      </c>
      <c r="AC5" s="63">
        <v>15</v>
      </c>
      <c r="AD5" s="63">
        <v>6</v>
      </c>
      <c r="AE5" s="63">
        <v>10</v>
      </c>
      <c r="AF5" s="63">
        <v>8</v>
      </c>
      <c r="AG5" s="45">
        <f t="shared" si="0"/>
        <v>239</v>
      </c>
    </row>
    <row r="6" spans="1:33" x14ac:dyDescent="0.35">
      <c r="A6" s="45">
        <v>5</v>
      </c>
      <c r="B6" s="65" t="s">
        <v>62</v>
      </c>
      <c r="C6" s="65">
        <v>18</v>
      </c>
      <c r="D6" s="65">
        <v>15</v>
      </c>
      <c r="E6" s="65">
        <v>18</v>
      </c>
      <c r="F6" s="65" t="s">
        <v>82</v>
      </c>
      <c r="G6" s="65">
        <v>4</v>
      </c>
      <c r="H6" s="65">
        <v>8</v>
      </c>
      <c r="I6" s="86">
        <v>8</v>
      </c>
      <c r="J6" s="86">
        <v>19</v>
      </c>
      <c r="K6" s="65">
        <v>15</v>
      </c>
      <c r="L6" s="65">
        <v>10</v>
      </c>
      <c r="M6" s="65">
        <v>8</v>
      </c>
      <c r="N6" s="65">
        <v>6</v>
      </c>
      <c r="O6" s="65">
        <v>3</v>
      </c>
      <c r="P6" s="86">
        <v>13</v>
      </c>
      <c r="Q6" s="65">
        <v>4</v>
      </c>
      <c r="R6" s="65">
        <v>6</v>
      </c>
      <c r="S6" s="65" t="s">
        <v>82</v>
      </c>
      <c r="T6" s="65">
        <v>10</v>
      </c>
      <c r="U6" s="65">
        <v>2</v>
      </c>
      <c r="V6" s="65"/>
      <c r="W6" s="65">
        <v>12</v>
      </c>
      <c r="X6" s="65">
        <v>2</v>
      </c>
      <c r="Y6" s="65">
        <v>8</v>
      </c>
      <c r="Z6" s="65" t="s">
        <v>82</v>
      </c>
      <c r="AA6" s="65">
        <v>3</v>
      </c>
      <c r="AB6" s="65">
        <v>12</v>
      </c>
      <c r="AC6" s="65"/>
      <c r="AD6" s="65"/>
      <c r="AE6" s="65">
        <v>4</v>
      </c>
      <c r="AF6" s="65"/>
      <c r="AG6" s="45">
        <f t="shared" si="0"/>
        <v>208</v>
      </c>
    </row>
    <row r="7" spans="1:33" x14ac:dyDescent="0.35">
      <c r="A7" s="45">
        <v>6</v>
      </c>
      <c r="B7" s="2" t="s">
        <v>81</v>
      </c>
      <c r="C7" s="2" t="s">
        <v>82</v>
      </c>
      <c r="D7" s="2">
        <v>4</v>
      </c>
      <c r="E7" s="2">
        <v>8</v>
      </c>
      <c r="F7" s="51">
        <v>7</v>
      </c>
      <c r="G7" s="2">
        <v>3</v>
      </c>
      <c r="H7" s="2">
        <v>12</v>
      </c>
      <c r="I7" s="2">
        <v>2</v>
      </c>
      <c r="J7" s="2">
        <v>8</v>
      </c>
      <c r="K7" s="2">
        <v>6</v>
      </c>
      <c r="L7" s="2">
        <v>18</v>
      </c>
      <c r="M7" s="2">
        <v>12</v>
      </c>
      <c r="N7" s="2">
        <v>15</v>
      </c>
      <c r="O7" s="2">
        <v>4</v>
      </c>
      <c r="P7" s="2" t="s">
        <v>82</v>
      </c>
      <c r="Q7" s="2">
        <v>12</v>
      </c>
      <c r="R7" s="2">
        <v>4</v>
      </c>
      <c r="S7" s="2">
        <v>25</v>
      </c>
      <c r="T7" s="2">
        <v>25</v>
      </c>
      <c r="U7" s="2" t="s">
        <v>82</v>
      </c>
      <c r="V7" s="2">
        <v>8</v>
      </c>
      <c r="W7" s="2">
        <v>8</v>
      </c>
      <c r="X7" s="2">
        <v>1</v>
      </c>
      <c r="Y7" s="2">
        <v>6</v>
      </c>
      <c r="Z7" s="62" t="s">
        <v>82</v>
      </c>
      <c r="AA7" s="62"/>
      <c r="AB7" s="62"/>
      <c r="AC7" s="62" t="s">
        <v>82</v>
      </c>
      <c r="AD7" s="62">
        <v>3</v>
      </c>
      <c r="AE7" s="62"/>
      <c r="AF7" s="62">
        <v>10</v>
      </c>
      <c r="AG7" s="45">
        <f t="shared" si="0"/>
        <v>201</v>
      </c>
    </row>
    <row r="8" spans="1:33" x14ac:dyDescent="0.35">
      <c r="A8" s="45">
        <v>7</v>
      </c>
      <c r="B8" s="72" t="s">
        <v>67</v>
      </c>
      <c r="C8" s="72">
        <v>6</v>
      </c>
      <c r="D8" s="72">
        <v>25</v>
      </c>
      <c r="E8" s="72">
        <v>10</v>
      </c>
      <c r="F8" s="72">
        <v>12</v>
      </c>
      <c r="G8" s="72">
        <v>1</v>
      </c>
      <c r="H8" s="72">
        <v>10</v>
      </c>
      <c r="I8" s="72">
        <v>1</v>
      </c>
      <c r="J8" s="72" t="s">
        <v>82</v>
      </c>
      <c r="K8" s="72">
        <v>2</v>
      </c>
      <c r="L8" s="72">
        <v>1</v>
      </c>
      <c r="M8" s="72">
        <v>15</v>
      </c>
      <c r="N8" s="87">
        <v>11</v>
      </c>
      <c r="O8" s="72">
        <v>2</v>
      </c>
      <c r="P8" s="72">
        <v>2</v>
      </c>
      <c r="Q8" s="72" t="s">
        <v>82</v>
      </c>
      <c r="R8" s="72">
        <v>2</v>
      </c>
      <c r="S8" s="72">
        <v>8</v>
      </c>
      <c r="T8" s="72">
        <v>2</v>
      </c>
      <c r="U8" s="72"/>
      <c r="V8" s="72">
        <v>10</v>
      </c>
      <c r="W8" s="72">
        <v>6</v>
      </c>
      <c r="X8" s="72">
        <v>6</v>
      </c>
      <c r="Y8" s="72">
        <v>15</v>
      </c>
      <c r="Z8" s="72" t="s">
        <v>82</v>
      </c>
      <c r="AA8" s="72">
        <v>8</v>
      </c>
      <c r="AB8" s="72">
        <v>2</v>
      </c>
      <c r="AC8" s="72">
        <v>12</v>
      </c>
      <c r="AD8" s="72">
        <v>2</v>
      </c>
      <c r="AE8" s="72">
        <v>6</v>
      </c>
      <c r="AF8" s="72">
        <v>6</v>
      </c>
      <c r="AG8" s="45">
        <f t="shared" si="0"/>
        <v>183</v>
      </c>
    </row>
    <row r="9" spans="1:33" x14ac:dyDescent="0.35">
      <c r="A9" s="45">
        <v>8</v>
      </c>
      <c r="B9" s="65" t="s">
        <v>68</v>
      </c>
      <c r="C9" s="65">
        <v>4</v>
      </c>
      <c r="D9" s="65">
        <v>8</v>
      </c>
      <c r="E9" s="65">
        <v>15</v>
      </c>
      <c r="F9" s="65">
        <v>1</v>
      </c>
      <c r="G9" s="65">
        <v>6</v>
      </c>
      <c r="H9" s="65">
        <v>15</v>
      </c>
      <c r="I9" s="65">
        <v>3</v>
      </c>
      <c r="J9" s="65">
        <v>12</v>
      </c>
      <c r="K9" s="65">
        <v>10</v>
      </c>
      <c r="L9" s="65">
        <v>2</v>
      </c>
      <c r="M9" s="65">
        <v>4</v>
      </c>
      <c r="N9" s="65">
        <v>8</v>
      </c>
      <c r="O9" s="65">
        <v>5</v>
      </c>
      <c r="P9" s="65">
        <v>4</v>
      </c>
      <c r="Q9" s="65">
        <v>8</v>
      </c>
      <c r="R9" s="65">
        <v>10</v>
      </c>
      <c r="S9" s="65">
        <v>6</v>
      </c>
      <c r="T9" s="65">
        <v>8</v>
      </c>
      <c r="U9" s="65">
        <v>10</v>
      </c>
      <c r="V9" s="65" t="s">
        <v>82</v>
      </c>
      <c r="W9" s="65">
        <v>10</v>
      </c>
      <c r="X9" s="65">
        <v>3</v>
      </c>
      <c r="Y9" s="86"/>
      <c r="Z9" s="65">
        <v>15</v>
      </c>
      <c r="AA9" s="65"/>
      <c r="AB9" s="65">
        <v>4</v>
      </c>
      <c r="AC9" s="65">
        <v>1</v>
      </c>
      <c r="AD9" s="65">
        <v>1</v>
      </c>
      <c r="AE9" s="65"/>
      <c r="AF9" s="65">
        <v>2</v>
      </c>
      <c r="AG9" s="45">
        <f t="shared" si="0"/>
        <v>175</v>
      </c>
    </row>
    <row r="10" spans="1:33" x14ac:dyDescent="0.35">
      <c r="A10" s="45">
        <v>9</v>
      </c>
      <c r="B10" s="4" t="s">
        <v>71</v>
      </c>
      <c r="C10" s="4"/>
      <c r="D10" s="4" t="s">
        <v>82</v>
      </c>
      <c r="E10" s="4">
        <v>1</v>
      </c>
      <c r="F10" s="4">
        <v>2</v>
      </c>
      <c r="G10" s="4"/>
      <c r="H10" s="4">
        <v>1</v>
      </c>
      <c r="I10" s="4"/>
      <c r="J10" s="4">
        <v>6</v>
      </c>
      <c r="K10" s="4">
        <v>4</v>
      </c>
      <c r="L10" s="4">
        <v>6</v>
      </c>
      <c r="M10" s="4" t="s">
        <v>82</v>
      </c>
      <c r="N10" s="4">
        <v>2</v>
      </c>
      <c r="O10" s="4"/>
      <c r="P10" s="4">
        <v>8</v>
      </c>
      <c r="Q10" s="4">
        <v>10</v>
      </c>
      <c r="R10" s="4">
        <v>18</v>
      </c>
      <c r="S10" s="4">
        <v>4</v>
      </c>
      <c r="T10" s="4">
        <v>4</v>
      </c>
      <c r="U10" s="4">
        <v>18</v>
      </c>
      <c r="V10" s="4">
        <v>6</v>
      </c>
      <c r="W10" s="4">
        <v>2</v>
      </c>
      <c r="X10" s="4"/>
      <c r="Y10" s="4">
        <v>12</v>
      </c>
      <c r="Z10" s="64">
        <v>6</v>
      </c>
      <c r="AA10" s="64">
        <v>1</v>
      </c>
      <c r="AB10" s="64">
        <v>8</v>
      </c>
      <c r="AC10" s="64">
        <v>4</v>
      </c>
      <c r="AD10" s="64"/>
      <c r="AE10" s="64"/>
      <c r="AF10" s="64">
        <v>12</v>
      </c>
      <c r="AG10" s="45">
        <f t="shared" si="0"/>
        <v>135</v>
      </c>
    </row>
    <row r="11" spans="1:33" x14ac:dyDescent="0.35">
      <c r="A11" s="45">
        <v>10</v>
      </c>
      <c r="B11" s="7" t="s">
        <v>66</v>
      </c>
      <c r="C11" s="7">
        <v>8</v>
      </c>
      <c r="D11" s="7"/>
      <c r="E11" s="7">
        <v>6</v>
      </c>
      <c r="F11" s="7">
        <v>10</v>
      </c>
      <c r="G11" s="7"/>
      <c r="H11" s="7">
        <v>4</v>
      </c>
      <c r="I11" s="7"/>
      <c r="J11" s="7">
        <v>2</v>
      </c>
      <c r="K11" s="7"/>
      <c r="L11" s="7" t="s">
        <v>82</v>
      </c>
      <c r="M11" s="7">
        <v>6</v>
      </c>
      <c r="N11" s="7"/>
      <c r="O11" s="7"/>
      <c r="P11" s="7"/>
      <c r="Q11" s="7">
        <v>2</v>
      </c>
      <c r="R11" s="7">
        <v>1</v>
      </c>
      <c r="S11" s="7"/>
      <c r="T11" s="7"/>
      <c r="U11" s="7">
        <v>1</v>
      </c>
      <c r="V11" s="7">
        <v>2</v>
      </c>
      <c r="W11" s="7"/>
      <c r="X11" s="7"/>
      <c r="Y11" s="7">
        <v>4</v>
      </c>
      <c r="Z11" s="67">
        <v>8</v>
      </c>
      <c r="AA11" s="67">
        <v>6</v>
      </c>
      <c r="AB11" s="67">
        <v>10</v>
      </c>
      <c r="AC11" s="67"/>
      <c r="AD11" s="67"/>
      <c r="AE11" s="67">
        <v>12</v>
      </c>
      <c r="AF11" s="67">
        <v>4</v>
      </c>
      <c r="AG11" s="45">
        <f t="shared" si="0"/>
        <v>86</v>
      </c>
    </row>
    <row r="12" spans="1:33" x14ac:dyDescent="0.35">
      <c r="A12" s="45">
        <v>11</v>
      </c>
      <c r="B12" s="6" t="s">
        <v>72</v>
      </c>
      <c r="C12" s="6"/>
      <c r="D12" s="6">
        <v>10</v>
      </c>
      <c r="E12" s="6">
        <v>2</v>
      </c>
      <c r="F12" s="6" t="s">
        <v>82</v>
      </c>
      <c r="G12" s="6"/>
      <c r="H12" s="6"/>
      <c r="I12" s="6"/>
      <c r="J12" s="6">
        <v>1</v>
      </c>
      <c r="K12" s="6"/>
      <c r="L12" s="6"/>
      <c r="M12" s="6">
        <v>2</v>
      </c>
      <c r="N12" s="6"/>
      <c r="O12" s="6"/>
      <c r="P12" s="6">
        <v>1</v>
      </c>
      <c r="Q12" s="6">
        <v>1</v>
      </c>
      <c r="R12" s="6"/>
      <c r="S12" s="6"/>
      <c r="T12" s="6"/>
      <c r="U12" s="6">
        <v>6</v>
      </c>
      <c r="V12" s="6">
        <v>1</v>
      </c>
      <c r="W12" s="6">
        <v>1</v>
      </c>
      <c r="X12" s="6"/>
      <c r="Y12" s="6">
        <v>2</v>
      </c>
      <c r="Z12" s="66">
        <v>12</v>
      </c>
      <c r="AA12" s="66">
        <v>4</v>
      </c>
      <c r="AB12" s="66">
        <v>6</v>
      </c>
      <c r="AC12" s="87">
        <v>9</v>
      </c>
      <c r="AD12" s="66">
        <v>4</v>
      </c>
      <c r="AE12" s="66">
        <v>15</v>
      </c>
      <c r="AF12" s="66"/>
      <c r="AG12" s="45">
        <f t="shared" si="0"/>
        <v>77</v>
      </c>
    </row>
    <row r="13" spans="1:33" x14ac:dyDescent="0.35">
      <c r="A13" s="45">
        <v>12</v>
      </c>
      <c r="B13" s="10" t="s">
        <v>70</v>
      </c>
      <c r="C13" s="10">
        <v>1</v>
      </c>
      <c r="D13" s="10" t="s">
        <v>82</v>
      </c>
      <c r="E13" s="10"/>
      <c r="F13" s="10"/>
      <c r="G13" s="10"/>
      <c r="H13" s="10"/>
      <c r="I13" s="10"/>
      <c r="J13" s="10"/>
      <c r="K13" s="10">
        <v>1</v>
      </c>
      <c r="L13" s="10">
        <v>4</v>
      </c>
      <c r="M13" s="10"/>
      <c r="N13" s="10">
        <v>1</v>
      </c>
      <c r="O13" s="10">
        <v>1</v>
      </c>
      <c r="P13" s="10"/>
      <c r="Q13" s="10"/>
      <c r="R13" s="10"/>
      <c r="S13" s="10" t="s">
        <v>82</v>
      </c>
      <c r="T13" s="10"/>
      <c r="U13" s="10">
        <v>4</v>
      </c>
      <c r="V13" s="10">
        <v>4</v>
      </c>
      <c r="W13" s="10"/>
      <c r="X13" s="10"/>
      <c r="Y13" s="10">
        <v>10</v>
      </c>
      <c r="Z13" s="70">
        <v>2</v>
      </c>
      <c r="AA13" s="70" t="s">
        <v>82</v>
      </c>
      <c r="AB13" s="70"/>
      <c r="AC13" s="70"/>
      <c r="AD13" s="70"/>
      <c r="AE13" s="70"/>
      <c r="AF13" s="70"/>
      <c r="AG13" s="45">
        <f t="shared" si="0"/>
        <v>28</v>
      </c>
    </row>
    <row r="14" spans="1:33" x14ac:dyDescent="0.35">
      <c r="A14" s="45">
        <v>13</v>
      </c>
      <c r="B14" s="10" t="s">
        <v>73</v>
      </c>
      <c r="C14" s="10"/>
      <c r="D14" s="10">
        <v>2</v>
      </c>
      <c r="E14" s="10"/>
      <c r="F14" s="10">
        <v>8</v>
      </c>
      <c r="G14" s="51"/>
      <c r="H14" s="10">
        <v>2</v>
      </c>
      <c r="I14" s="10"/>
      <c r="J14" s="10"/>
      <c r="K14" s="10"/>
      <c r="L14" s="10"/>
      <c r="M14" s="10"/>
      <c r="N14" s="10"/>
      <c r="O14" s="10"/>
      <c r="P14" s="10">
        <v>6</v>
      </c>
      <c r="Q14" s="10"/>
      <c r="R14" s="10"/>
      <c r="S14" s="10">
        <v>2</v>
      </c>
      <c r="T14" s="10">
        <v>1</v>
      </c>
      <c r="U14" s="10"/>
      <c r="V14" s="10"/>
      <c r="W14" s="10"/>
      <c r="X14" s="10"/>
      <c r="Y14" s="10"/>
      <c r="Z14" s="70">
        <v>1</v>
      </c>
      <c r="AA14" s="70"/>
      <c r="AB14" s="70"/>
      <c r="AC14" s="70" t="s">
        <v>82</v>
      </c>
      <c r="AD14" s="70"/>
      <c r="AE14" s="70"/>
      <c r="AF14" s="70"/>
      <c r="AG14" s="45">
        <f t="shared" si="0"/>
        <v>22</v>
      </c>
    </row>
    <row r="15" spans="1:33" x14ac:dyDescent="0.35">
      <c r="A15" s="45">
        <v>14</v>
      </c>
      <c r="B15" s="72" t="s">
        <v>69</v>
      </c>
      <c r="C15" s="72">
        <v>2</v>
      </c>
      <c r="D15" s="72" t="s">
        <v>82</v>
      </c>
      <c r="E15" s="72"/>
      <c r="F15" s="72"/>
      <c r="G15" s="72"/>
      <c r="H15" s="72"/>
      <c r="I15" s="72"/>
      <c r="J15" s="72" t="s">
        <v>82</v>
      </c>
      <c r="K15" s="72"/>
      <c r="L15" s="72"/>
      <c r="M15" s="72"/>
      <c r="N15" s="72"/>
      <c r="O15" s="72"/>
      <c r="P15" s="72"/>
      <c r="Q15" s="72"/>
      <c r="R15" s="72"/>
      <c r="S15" s="72" t="s">
        <v>82</v>
      </c>
      <c r="T15" s="72" t="s">
        <v>82</v>
      </c>
      <c r="U15" s="72"/>
      <c r="V15" s="87"/>
      <c r="W15" s="72"/>
      <c r="X15" s="72"/>
      <c r="Y15" s="72" t="s">
        <v>82</v>
      </c>
      <c r="Z15" s="72"/>
      <c r="AA15" s="72"/>
      <c r="AB15" s="72"/>
      <c r="AC15" s="72">
        <v>6</v>
      </c>
      <c r="AD15" s="72"/>
      <c r="AE15" s="72"/>
      <c r="AF15" s="72">
        <v>1</v>
      </c>
      <c r="AG15" s="45">
        <f t="shared" si="0"/>
        <v>9</v>
      </c>
    </row>
    <row r="16" spans="1:33" x14ac:dyDescent="0.35">
      <c r="A16" s="45">
        <v>15</v>
      </c>
      <c r="B16" s="71" t="s">
        <v>76</v>
      </c>
      <c r="C16" s="71"/>
      <c r="D16" s="71">
        <v>6</v>
      </c>
      <c r="E16" s="71"/>
      <c r="F16" s="71"/>
      <c r="G16" s="71"/>
      <c r="H16" s="71"/>
      <c r="I16" s="71"/>
      <c r="J16" s="71"/>
      <c r="K16" s="71"/>
      <c r="L16" s="71"/>
      <c r="M16" s="71"/>
      <c r="N16" s="71" t="s">
        <v>82</v>
      </c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 t="s">
        <v>82</v>
      </c>
      <c r="AD16" s="71"/>
      <c r="AE16" s="71"/>
      <c r="AF16" s="71"/>
      <c r="AG16" s="45">
        <f t="shared" si="0"/>
        <v>6</v>
      </c>
    </row>
    <row r="17" spans="1:33" x14ac:dyDescent="0.35">
      <c r="A17" s="45">
        <v>16</v>
      </c>
      <c r="B17" s="9" t="s">
        <v>75</v>
      </c>
      <c r="C17" s="9"/>
      <c r="D17" s="9" t="s">
        <v>82</v>
      </c>
      <c r="E17" s="9"/>
      <c r="F17" s="9"/>
      <c r="G17" s="9"/>
      <c r="H17" s="9" t="s">
        <v>82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>
        <v>1</v>
      </c>
      <c r="T17" s="9"/>
      <c r="U17" s="9"/>
      <c r="V17" s="9" t="s">
        <v>82</v>
      </c>
      <c r="W17" s="9"/>
      <c r="X17" s="9"/>
      <c r="Y17" s="9"/>
      <c r="Z17" s="69" t="s">
        <v>82</v>
      </c>
      <c r="AA17" s="69"/>
      <c r="AB17" s="69"/>
      <c r="AC17" s="69">
        <v>2</v>
      </c>
      <c r="AD17" s="69"/>
      <c r="AE17" s="69">
        <v>2</v>
      </c>
      <c r="AF17" s="69"/>
      <c r="AG17" s="45">
        <f t="shared" si="0"/>
        <v>5</v>
      </c>
    </row>
    <row r="18" spans="1:33" x14ac:dyDescent="0.35">
      <c r="A18" s="45">
        <v>17</v>
      </c>
      <c r="B18" s="67" t="s">
        <v>74</v>
      </c>
      <c r="C18" s="86"/>
      <c r="D18" s="67" t="s">
        <v>82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 t="s">
        <v>82</v>
      </c>
      <c r="U18" s="67"/>
      <c r="V18" s="67"/>
      <c r="W18" s="67"/>
      <c r="X18" s="67"/>
      <c r="Y18" s="67"/>
      <c r="Z18" s="67"/>
      <c r="AA18" s="67"/>
      <c r="AB18" s="86"/>
      <c r="AC18" s="67"/>
      <c r="AD18" s="67"/>
      <c r="AE18" s="67">
        <v>1</v>
      </c>
      <c r="AF18" s="67"/>
      <c r="AG18" s="45">
        <f t="shared" si="0"/>
        <v>1</v>
      </c>
    </row>
    <row r="19" spans="1:33" x14ac:dyDescent="0.35">
      <c r="A19" s="45">
        <v>18</v>
      </c>
      <c r="B19" s="69" t="s">
        <v>79</v>
      </c>
      <c r="C19" s="69"/>
      <c r="D19" s="69">
        <v>1</v>
      </c>
      <c r="E19" s="69"/>
      <c r="F19" s="69"/>
      <c r="G19" s="69"/>
      <c r="H19" s="69"/>
      <c r="I19" s="69"/>
      <c r="J19" s="69"/>
      <c r="K19" s="69"/>
      <c r="L19" s="69" t="s">
        <v>82</v>
      </c>
      <c r="M19" s="69"/>
      <c r="N19" s="69"/>
      <c r="O19" s="69"/>
      <c r="P19" s="69"/>
      <c r="Q19" s="69"/>
      <c r="R19" s="87"/>
      <c r="S19" s="69"/>
      <c r="T19" s="69"/>
      <c r="U19" s="69"/>
      <c r="V19" s="69"/>
      <c r="W19" s="69"/>
      <c r="X19" s="69"/>
      <c r="Y19" s="69" t="s">
        <v>82</v>
      </c>
      <c r="Z19" s="69" t="s">
        <v>82</v>
      </c>
      <c r="AA19" s="69" t="s">
        <v>82</v>
      </c>
      <c r="AB19" s="69" t="s">
        <v>82</v>
      </c>
      <c r="AC19" s="69" t="s">
        <v>82</v>
      </c>
      <c r="AD19" s="69"/>
      <c r="AE19" s="69"/>
      <c r="AF19" s="69"/>
      <c r="AG19" s="45">
        <f t="shared" si="0"/>
        <v>1</v>
      </c>
    </row>
    <row r="20" spans="1:33" x14ac:dyDescent="0.35">
      <c r="A20" s="45">
        <v>19</v>
      </c>
      <c r="B20" s="66" t="s">
        <v>78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 t="s">
        <v>82</v>
      </c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 t="s">
        <v>82</v>
      </c>
      <c r="AD20" s="66"/>
      <c r="AE20" s="66"/>
      <c r="AF20" s="66"/>
      <c r="AG20" s="45">
        <f t="shared" si="0"/>
        <v>0</v>
      </c>
    </row>
    <row r="21" spans="1:33" x14ac:dyDescent="0.35">
      <c r="A21" s="45">
        <v>20</v>
      </c>
      <c r="B21" s="8" t="s">
        <v>80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 t="s">
        <v>82</v>
      </c>
      <c r="X21" s="8"/>
      <c r="Y21" s="8"/>
      <c r="Z21" s="68"/>
      <c r="AA21" s="68"/>
      <c r="AB21" s="68"/>
      <c r="AC21" s="68"/>
      <c r="AD21" s="68"/>
      <c r="AE21" s="68"/>
      <c r="AF21" s="68"/>
      <c r="AG21" s="45">
        <f t="shared" si="0"/>
        <v>0</v>
      </c>
    </row>
    <row r="22" spans="1:33" x14ac:dyDescent="0.35">
      <c r="A22" s="45">
        <v>21</v>
      </c>
      <c r="B22" s="8" t="s">
        <v>77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 t="s">
        <v>82</v>
      </c>
      <c r="U22" s="8"/>
      <c r="V22" s="8" t="s">
        <v>82</v>
      </c>
      <c r="W22" s="8" t="s">
        <v>82</v>
      </c>
      <c r="X22" s="8"/>
      <c r="Y22" s="8"/>
      <c r="Z22" s="68"/>
      <c r="AA22" s="68"/>
      <c r="AB22" s="68"/>
      <c r="AC22" s="68"/>
      <c r="AD22" s="68"/>
      <c r="AE22" s="68"/>
      <c r="AF22" s="68"/>
      <c r="AG22" s="45">
        <f t="shared" si="0"/>
        <v>0</v>
      </c>
    </row>
    <row r="23" spans="1:33" x14ac:dyDescent="0.35">
      <c r="A23" s="45">
        <v>22</v>
      </c>
      <c r="B23" s="11" t="s">
        <v>125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 t="s">
        <v>82</v>
      </c>
      <c r="N23" s="11"/>
      <c r="O23" s="11"/>
      <c r="P23" s="11"/>
      <c r="Q23" s="11"/>
      <c r="R23" s="11"/>
      <c r="S23" s="11"/>
      <c r="T23" s="11"/>
      <c r="U23" s="11"/>
      <c r="V23" s="11"/>
      <c r="W23" s="11" t="s">
        <v>82</v>
      </c>
      <c r="X23" s="11"/>
      <c r="Y23" s="11"/>
      <c r="Z23" s="71"/>
      <c r="AA23" s="71"/>
      <c r="AB23" s="71" t="s">
        <v>82</v>
      </c>
      <c r="AC23" s="71" t="s">
        <v>82</v>
      </c>
      <c r="AD23" s="71"/>
      <c r="AE23" s="71"/>
      <c r="AF23" s="71"/>
      <c r="AG23" s="45">
        <f t="shared" si="0"/>
        <v>0</v>
      </c>
    </row>
  </sheetData>
  <sortState xmlns:xlrd2="http://schemas.microsoft.com/office/spreadsheetml/2017/richdata2" ref="B1:AG23">
    <sortCondition descending="1" ref="AG1:AG23"/>
    <sortCondition ref="B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D5FD-590E-4B73-AD04-D1CD08B49B7E}">
  <dimension ref="A1:AG12"/>
  <sheetViews>
    <sheetView zoomScale="70" zoomScaleNormal="70" workbookViewId="0">
      <selection activeCell="AC20" sqref="AC20"/>
    </sheetView>
  </sheetViews>
  <sheetFormatPr defaultRowHeight="14.5" x14ac:dyDescent="0.35"/>
  <cols>
    <col min="1" max="1" width="8.26953125" bestFit="1" customWidth="1"/>
    <col min="2" max="2" width="40.08984375" bestFit="1" customWidth="1"/>
    <col min="3" max="3" width="8.08984375" bestFit="1" customWidth="1"/>
    <col min="4" max="4" width="3.08984375" bestFit="1" customWidth="1"/>
    <col min="5" max="5" width="9.90625" bestFit="1" customWidth="1"/>
    <col min="6" max="6" width="7.36328125" bestFit="1" customWidth="1"/>
    <col min="7" max="7" width="13.7265625" bestFit="1" customWidth="1"/>
    <col min="8" max="8" width="5.90625" bestFit="1" customWidth="1"/>
    <col min="9" max="9" width="16" bestFit="1" customWidth="1"/>
    <col min="10" max="10" width="8.1796875" bestFit="1" customWidth="1"/>
    <col min="11" max="11" width="6.7265625" bestFit="1" customWidth="1"/>
    <col min="12" max="12" width="7.81640625" bestFit="1" customWidth="1"/>
    <col min="13" max="13" width="7.1796875" bestFit="1" customWidth="1"/>
    <col min="14" max="14" width="8.1796875" bestFit="1" customWidth="1"/>
    <col min="15" max="15" width="15.6328125" bestFit="1" customWidth="1"/>
    <col min="16" max="16" width="7.81640625" bestFit="1" customWidth="1"/>
    <col min="17" max="17" width="15.54296875" bestFit="1" customWidth="1"/>
    <col min="18" max="18" width="7.90625" bestFit="1" customWidth="1"/>
    <col min="19" max="19" width="7.81640625" bestFit="1" customWidth="1"/>
    <col min="20" max="20" width="12.26953125" bestFit="1" customWidth="1"/>
    <col min="21" max="21" width="6.81640625" bestFit="1" customWidth="1"/>
    <col min="22" max="22" width="12.90625" bestFit="1" customWidth="1"/>
    <col min="23" max="23" width="8.90625" bestFit="1" customWidth="1"/>
    <col min="24" max="24" width="13.81640625" bestFit="1" customWidth="1"/>
    <col min="25" max="25" width="6" bestFit="1" customWidth="1"/>
    <col min="26" max="26" width="8.453125" bestFit="1" customWidth="1"/>
    <col min="27" max="27" width="17" bestFit="1" customWidth="1"/>
    <col min="28" max="28" width="9.08984375" bestFit="1" customWidth="1"/>
    <col min="29" max="29" width="9.1796875" bestFit="1" customWidth="1"/>
    <col min="30" max="30" width="13.6328125" bestFit="1" customWidth="1"/>
    <col min="31" max="31" width="5.81640625" bestFit="1" customWidth="1"/>
    <col min="32" max="32" width="4.453125" bestFit="1" customWidth="1"/>
    <col min="33" max="33" width="5.81640625" bestFit="1" customWidth="1"/>
  </cols>
  <sheetData>
    <row r="1" spans="1:33" x14ac:dyDescent="0.35">
      <c r="A1" s="13" t="s">
        <v>349</v>
      </c>
      <c r="B1" s="13" t="s">
        <v>84</v>
      </c>
      <c r="C1" s="13" t="s">
        <v>30</v>
      </c>
      <c r="D1" s="13" t="s">
        <v>59</v>
      </c>
      <c r="E1" s="13" t="s">
        <v>31</v>
      </c>
      <c r="F1" s="13" t="s">
        <v>32</v>
      </c>
      <c r="G1" s="13" t="s">
        <v>37</v>
      </c>
      <c r="H1" s="13" t="s">
        <v>33</v>
      </c>
      <c r="I1" s="13" t="s">
        <v>38</v>
      </c>
      <c r="J1" s="13" t="s">
        <v>34</v>
      </c>
      <c r="K1" s="13" t="s">
        <v>35</v>
      </c>
      <c r="L1" s="13" t="s">
        <v>36</v>
      </c>
      <c r="M1" s="13" t="s">
        <v>39</v>
      </c>
      <c r="N1" s="13" t="s">
        <v>40</v>
      </c>
      <c r="O1" s="13" t="s">
        <v>41</v>
      </c>
      <c r="P1" s="13" t="s">
        <v>42</v>
      </c>
      <c r="Q1" s="13" t="s">
        <v>43</v>
      </c>
      <c r="R1" s="13" t="s">
        <v>44</v>
      </c>
      <c r="S1" s="13" t="s">
        <v>45</v>
      </c>
      <c r="T1" s="13" t="s">
        <v>46</v>
      </c>
      <c r="U1" s="13" t="s">
        <v>47</v>
      </c>
      <c r="V1" s="13" t="s">
        <v>48</v>
      </c>
      <c r="W1" s="13" t="s">
        <v>49</v>
      </c>
      <c r="X1" s="13" t="s">
        <v>52</v>
      </c>
      <c r="Y1" s="13" t="s">
        <v>50</v>
      </c>
      <c r="Z1" s="13" t="s">
        <v>51</v>
      </c>
      <c r="AA1" s="13" t="s">
        <v>53</v>
      </c>
      <c r="AB1" s="13" t="s">
        <v>54</v>
      </c>
      <c r="AC1" s="13" t="s">
        <v>55</v>
      </c>
      <c r="AD1" s="13" t="s">
        <v>56</v>
      </c>
      <c r="AE1" s="13" t="s">
        <v>57</v>
      </c>
      <c r="AF1" s="13" t="s">
        <v>58</v>
      </c>
      <c r="AG1" s="14" t="s">
        <v>83</v>
      </c>
    </row>
    <row r="2" spans="1:33" x14ac:dyDescent="0.35">
      <c r="A2" s="46">
        <v>1</v>
      </c>
      <c r="B2" s="62" t="s">
        <v>21</v>
      </c>
      <c r="C2" s="62">
        <v>15</v>
      </c>
      <c r="D2" s="62">
        <v>4</v>
      </c>
      <c r="E2" s="62">
        <v>8</v>
      </c>
      <c r="F2" s="87">
        <v>32</v>
      </c>
      <c r="G2" s="62">
        <v>11</v>
      </c>
      <c r="H2" s="62">
        <v>37</v>
      </c>
      <c r="I2" s="62">
        <v>9</v>
      </c>
      <c r="J2" s="62">
        <v>33</v>
      </c>
      <c r="K2" s="87">
        <v>32</v>
      </c>
      <c r="L2" s="87">
        <v>44</v>
      </c>
      <c r="M2" s="62">
        <v>37</v>
      </c>
      <c r="N2" s="62">
        <v>40</v>
      </c>
      <c r="O2" s="87">
        <v>12</v>
      </c>
      <c r="P2" s="62">
        <v>25</v>
      </c>
      <c r="Q2" s="62">
        <v>37</v>
      </c>
      <c r="R2" s="62">
        <v>19</v>
      </c>
      <c r="S2" s="62">
        <v>40</v>
      </c>
      <c r="T2" s="87">
        <v>44</v>
      </c>
      <c r="U2" s="87">
        <v>26</v>
      </c>
      <c r="V2" s="62">
        <v>33</v>
      </c>
      <c r="W2" s="62">
        <v>12</v>
      </c>
      <c r="X2" s="62">
        <v>9</v>
      </c>
      <c r="Y2" s="62">
        <v>31</v>
      </c>
      <c r="Z2" s="62">
        <v>25</v>
      </c>
      <c r="AA2" s="87"/>
      <c r="AB2" s="62">
        <v>18</v>
      </c>
      <c r="AC2" s="62">
        <v>25</v>
      </c>
      <c r="AD2" s="62">
        <v>11</v>
      </c>
      <c r="AE2" s="62">
        <v>25</v>
      </c>
      <c r="AF2" s="87">
        <v>36</v>
      </c>
      <c r="AG2" s="46">
        <f t="shared" ref="AG2:AG12" si="0">SUM(C2:AF2)</f>
        <v>730</v>
      </c>
    </row>
    <row r="3" spans="1:33" x14ac:dyDescent="0.35">
      <c r="A3" s="47">
        <v>2</v>
      </c>
      <c r="B3" s="63" t="s">
        <v>11</v>
      </c>
      <c r="C3" s="63">
        <v>35</v>
      </c>
      <c r="D3" s="63">
        <v>18</v>
      </c>
      <c r="E3" s="63">
        <v>37</v>
      </c>
      <c r="F3" s="63">
        <v>22</v>
      </c>
      <c r="G3" s="63">
        <v>12</v>
      </c>
      <c r="H3" s="63">
        <v>18</v>
      </c>
      <c r="I3" s="63">
        <v>11</v>
      </c>
      <c r="J3" s="63">
        <v>25</v>
      </c>
      <c r="K3" s="63">
        <v>30</v>
      </c>
      <c r="L3" s="63">
        <v>23</v>
      </c>
      <c r="M3" s="86">
        <v>29</v>
      </c>
      <c r="N3" s="63">
        <v>22</v>
      </c>
      <c r="O3" s="63">
        <v>13</v>
      </c>
      <c r="P3" s="63">
        <v>28</v>
      </c>
      <c r="Q3" s="86">
        <v>34</v>
      </c>
      <c r="R3" s="63">
        <v>37</v>
      </c>
      <c r="S3" s="86">
        <v>31</v>
      </c>
      <c r="T3" s="63">
        <v>21</v>
      </c>
      <c r="U3" s="63">
        <v>20</v>
      </c>
      <c r="V3" s="63">
        <v>30</v>
      </c>
      <c r="W3" s="86">
        <v>44</v>
      </c>
      <c r="X3" s="86">
        <v>11</v>
      </c>
      <c r="Y3" s="63">
        <v>1</v>
      </c>
      <c r="Z3" s="63">
        <v>22</v>
      </c>
      <c r="AA3" s="63">
        <v>9</v>
      </c>
      <c r="AB3" s="63">
        <v>26</v>
      </c>
      <c r="AC3" s="63">
        <v>33</v>
      </c>
      <c r="AD3" s="86">
        <v>13</v>
      </c>
      <c r="AE3" s="63">
        <v>28</v>
      </c>
      <c r="AF3" s="63">
        <v>23</v>
      </c>
      <c r="AG3" s="47">
        <f t="shared" si="0"/>
        <v>706</v>
      </c>
    </row>
    <row r="4" spans="1:33" x14ac:dyDescent="0.35">
      <c r="A4" s="48">
        <v>3</v>
      </c>
      <c r="B4" s="64" t="s">
        <v>12</v>
      </c>
      <c r="C4" s="64">
        <v>12</v>
      </c>
      <c r="D4" s="87">
        <v>13</v>
      </c>
      <c r="E4" s="87">
        <v>6</v>
      </c>
      <c r="F4" s="64">
        <v>17</v>
      </c>
      <c r="G4" s="64">
        <v>2</v>
      </c>
      <c r="H4" s="87">
        <v>8</v>
      </c>
      <c r="I4" s="64">
        <v>4</v>
      </c>
      <c r="J4" s="64">
        <v>10</v>
      </c>
      <c r="K4" s="64">
        <v>12</v>
      </c>
      <c r="L4" s="64">
        <v>18</v>
      </c>
      <c r="M4" s="64">
        <v>1</v>
      </c>
      <c r="N4" s="64">
        <v>14</v>
      </c>
      <c r="O4" s="64"/>
      <c r="P4" s="64">
        <v>23</v>
      </c>
      <c r="Q4" s="64">
        <v>16</v>
      </c>
      <c r="R4" s="64">
        <v>26</v>
      </c>
      <c r="S4" s="64">
        <v>14</v>
      </c>
      <c r="T4" s="64">
        <v>16</v>
      </c>
      <c r="U4" s="64">
        <v>33</v>
      </c>
      <c r="V4" s="64">
        <v>21</v>
      </c>
      <c r="W4" s="64">
        <v>17</v>
      </c>
      <c r="X4" s="64">
        <v>5</v>
      </c>
      <c r="Y4" s="64">
        <v>30</v>
      </c>
      <c r="Z4" s="87">
        <v>17</v>
      </c>
      <c r="AA4" s="64">
        <v>6</v>
      </c>
      <c r="AB4" s="64">
        <v>23</v>
      </c>
      <c r="AC4" s="64">
        <v>14</v>
      </c>
      <c r="AD4" s="64">
        <v>5</v>
      </c>
      <c r="AE4" s="87">
        <v>9</v>
      </c>
      <c r="AF4" s="64">
        <v>30</v>
      </c>
      <c r="AG4" s="48">
        <f t="shared" si="0"/>
        <v>422</v>
      </c>
    </row>
    <row r="5" spans="1:33" x14ac:dyDescent="0.35">
      <c r="A5" s="45">
        <v>4</v>
      </c>
      <c r="B5" s="65" t="s">
        <v>13</v>
      </c>
      <c r="C5" s="65">
        <v>22</v>
      </c>
      <c r="D5" s="65">
        <v>23</v>
      </c>
      <c r="E5" s="65">
        <v>33</v>
      </c>
      <c r="F5" s="65">
        <v>1</v>
      </c>
      <c r="G5" s="65">
        <v>10</v>
      </c>
      <c r="H5" s="65">
        <v>23</v>
      </c>
      <c r="I5" s="86">
        <v>11</v>
      </c>
      <c r="J5" s="86">
        <v>31</v>
      </c>
      <c r="K5" s="65">
        <v>25</v>
      </c>
      <c r="L5" s="65">
        <v>12</v>
      </c>
      <c r="M5" s="65">
        <v>12</v>
      </c>
      <c r="N5" s="65">
        <v>14</v>
      </c>
      <c r="O5" s="65">
        <v>8</v>
      </c>
      <c r="P5" s="86">
        <v>17</v>
      </c>
      <c r="Q5" s="65">
        <v>12</v>
      </c>
      <c r="R5" s="65">
        <v>16</v>
      </c>
      <c r="S5" s="65">
        <v>6</v>
      </c>
      <c r="T5" s="65">
        <v>18</v>
      </c>
      <c r="U5" s="65">
        <v>12</v>
      </c>
      <c r="V5" s="65"/>
      <c r="W5" s="65">
        <v>22</v>
      </c>
      <c r="X5" s="65">
        <v>5</v>
      </c>
      <c r="Y5" s="86">
        <v>8</v>
      </c>
      <c r="Z5" s="65">
        <v>15</v>
      </c>
      <c r="AA5" s="65">
        <v>3</v>
      </c>
      <c r="AB5" s="65">
        <v>16</v>
      </c>
      <c r="AC5" s="65">
        <v>1</v>
      </c>
      <c r="AD5" s="65">
        <v>1</v>
      </c>
      <c r="AE5" s="65">
        <v>5</v>
      </c>
      <c r="AF5" s="65">
        <v>2</v>
      </c>
      <c r="AG5" s="45">
        <f t="shared" si="0"/>
        <v>384</v>
      </c>
    </row>
    <row r="6" spans="1:33" x14ac:dyDescent="0.35">
      <c r="A6" s="45">
        <v>5</v>
      </c>
      <c r="B6" s="12" t="s">
        <v>18</v>
      </c>
      <c r="C6" s="12">
        <v>8</v>
      </c>
      <c r="D6" s="12">
        <v>25</v>
      </c>
      <c r="E6" s="12">
        <v>10</v>
      </c>
      <c r="F6" s="12">
        <v>12</v>
      </c>
      <c r="G6" s="12">
        <v>1</v>
      </c>
      <c r="H6" s="12">
        <v>10</v>
      </c>
      <c r="I6" s="12">
        <v>1</v>
      </c>
      <c r="J6" s="12" t="s">
        <v>82</v>
      </c>
      <c r="K6" s="12">
        <v>2</v>
      </c>
      <c r="L6" s="12">
        <v>1</v>
      </c>
      <c r="M6" s="12">
        <v>15</v>
      </c>
      <c r="N6" s="51">
        <v>11</v>
      </c>
      <c r="O6" s="12">
        <v>2</v>
      </c>
      <c r="P6" s="12">
        <v>2</v>
      </c>
      <c r="Q6" s="12"/>
      <c r="R6" s="12">
        <v>2</v>
      </c>
      <c r="S6" s="12">
        <v>8</v>
      </c>
      <c r="T6" s="12">
        <v>2</v>
      </c>
      <c r="U6" s="12"/>
      <c r="V6" s="51">
        <v>10</v>
      </c>
      <c r="W6" s="12">
        <v>6</v>
      </c>
      <c r="X6" s="12">
        <v>6</v>
      </c>
      <c r="Y6" s="12">
        <v>15</v>
      </c>
      <c r="Z6" s="72"/>
      <c r="AA6" s="72">
        <v>8</v>
      </c>
      <c r="AB6" s="72">
        <v>2</v>
      </c>
      <c r="AC6" s="72">
        <v>18</v>
      </c>
      <c r="AD6" s="72">
        <v>2</v>
      </c>
      <c r="AE6" s="72">
        <v>12</v>
      </c>
      <c r="AF6" s="72">
        <v>7</v>
      </c>
      <c r="AG6" s="45">
        <f t="shared" si="0"/>
        <v>198</v>
      </c>
    </row>
    <row r="7" spans="1:33" x14ac:dyDescent="0.35">
      <c r="A7" s="45">
        <v>6</v>
      </c>
      <c r="B7" s="67" t="s">
        <v>15</v>
      </c>
      <c r="C7" s="86">
        <v>8</v>
      </c>
      <c r="D7" s="67"/>
      <c r="E7" s="67">
        <v>6</v>
      </c>
      <c r="F7" s="67">
        <v>10</v>
      </c>
      <c r="G7" s="67"/>
      <c r="H7" s="67">
        <v>4</v>
      </c>
      <c r="I7" s="67"/>
      <c r="J7" s="67">
        <v>2</v>
      </c>
      <c r="K7" s="67"/>
      <c r="L7" s="67"/>
      <c r="M7" s="67">
        <v>6</v>
      </c>
      <c r="N7" s="67"/>
      <c r="O7" s="67"/>
      <c r="P7" s="67"/>
      <c r="Q7" s="67">
        <v>2</v>
      </c>
      <c r="R7" s="67">
        <v>1</v>
      </c>
      <c r="S7" s="67"/>
      <c r="T7" s="67"/>
      <c r="U7" s="67">
        <v>1</v>
      </c>
      <c r="V7" s="67">
        <v>2</v>
      </c>
      <c r="W7" s="67"/>
      <c r="X7" s="67"/>
      <c r="Y7" s="67">
        <v>4</v>
      </c>
      <c r="Z7" s="67">
        <v>8</v>
      </c>
      <c r="AA7" s="67">
        <v>6</v>
      </c>
      <c r="AB7" s="86">
        <v>10</v>
      </c>
      <c r="AC7" s="67"/>
      <c r="AD7" s="67"/>
      <c r="AE7" s="67">
        <v>13</v>
      </c>
      <c r="AF7" s="67">
        <v>4</v>
      </c>
      <c r="AG7" s="45">
        <f t="shared" si="0"/>
        <v>87</v>
      </c>
    </row>
    <row r="8" spans="1:33" x14ac:dyDescent="0.35">
      <c r="A8" s="45">
        <v>7</v>
      </c>
      <c r="B8" s="66" t="s">
        <v>14</v>
      </c>
      <c r="C8" s="66"/>
      <c r="D8" s="66">
        <v>10</v>
      </c>
      <c r="E8" s="66">
        <v>2</v>
      </c>
      <c r="F8" s="66"/>
      <c r="G8" s="66"/>
      <c r="H8" s="66"/>
      <c r="I8" s="66"/>
      <c r="J8" s="66">
        <v>1</v>
      </c>
      <c r="K8" s="66"/>
      <c r="L8" s="66"/>
      <c r="M8" s="66">
        <v>2</v>
      </c>
      <c r="N8" s="66"/>
      <c r="O8" s="66"/>
      <c r="P8" s="66">
        <v>1</v>
      </c>
      <c r="Q8" s="66">
        <v>1</v>
      </c>
      <c r="R8" s="66"/>
      <c r="S8" s="66"/>
      <c r="T8" s="66"/>
      <c r="U8" s="66">
        <v>6</v>
      </c>
      <c r="V8" s="66">
        <v>1</v>
      </c>
      <c r="W8" s="66">
        <v>1</v>
      </c>
      <c r="X8" s="66"/>
      <c r="Y8" s="66">
        <v>2</v>
      </c>
      <c r="Z8" s="66">
        <v>12</v>
      </c>
      <c r="AA8" s="66">
        <v>4</v>
      </c>
      <c r="AB8" s="66">
        <v>6</v>
      </c>
      <c r="AC8" s="87">
        <v>9</v>
      </c>
      <c r="AD8" s="66">
        <v>4</v>
      </c>
      <c r="AE8" s="66">
        <v>15</v>
      </c>
      <c r="AF8" s="66"/>
      <c r="AG8" s="45">
        <f t="shared" si="0"/>
        <v>77</v>
      </c>
    </row>
    <row r="9" spans="1:33" x14ac:dyDescent="0.35">
      <c r="A9" s="45">
        <v>8</v>
      </c>
      <c r="B9" s="70" t="s">
        <v>16</v>
      </c>
      <c r="C9" s="70">
        <v>1</v>
      </c>
      <c r="D9" s="70">
        <v>2</v>
      </c>
      <c r="E9" s="70"/>
      <c r="F9" s="70">
        <v>8</v>
      </c>
      <c r="G9" s="87"/>
      <c r="H9" s="70">
        <v>2</v>
      </c>
      <c r="I9" s="70"/>
      <c r="J9" s="70"/>
      <c r="K9" s="70">
        <v>1</v>
      </c>
      <c r="L9" s="70">
        <v>4</v>
      </c>
      <c r="M9" s="70"/>
      <c r="N9" s="70">
        <v>1</v>
      </c>
      <c r="O9" s="70">
        <v>1</v>
      </c>
      <c r="P9" s="70">
        <v>6</v>
      </c>
      <c r="Q9" s="70"/>
      <c r="R9" s="70"/>
      <c r="S9" s="70">
        <v>2</v>
      </c>
      <c r="T9" s="70">
        <v>1</v>
      </c>
      <c r="U9" s="70">
        <v>4</v>
      </c>
      <c r="V9" s="70">
        <v>4</v>
      </c>
      <c r="W9" s="70"/>
      <c r="X9" s="70"/>
      <c r="Y9" s="70">
        <v>10</v>
      </c>
      <c r="Z9" s="70">
        <v>3</v>
      </c>
      <c r="AA9" s="70"/>
      <c r="AB9" s="70"/>
      <c r="AC9" s="70"/>
      <c r="AD9" s="70"/>
      <c r="AE9" s="70"/>
      <c r="AF9" s="70"/>
      <c r="AG9" s="45">
        <f t="shared" si="0"/>
        <v>50</v>
      </c>
    </row>
    <row r="10" spans="1:33" x14ac:dyDescent="0.35">
      <c r="A10" s="45">
        <v>9</v>
      </c>
      <c r="B10" s="69" t="s">
        <v>20</v>
      </c>
      <c r="C10" s="69"/>
      <c r="D10" s="69">
        <v>1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87"/>
      <c r="S10" s="69">
        <v>1</v>
      </c>
      <c r="T10" s="69"/>
      <c r="U10" s="69"/>
      <c r="V10" s="69"/>
      <c r="W10" s="69"/>
      <c r="X10" s="69"/>
      <c r="Y10" s="69"/>
      <c r="Z10" s="69" t="s">
        <v>82</v>
      </c>
      <c r="AA10" s="69"/>
      <c r="AB10" s="69"/>
      <c r="AC10" s="69">
        <v>2</v>
      </c>
      <c r="AD10" s="69"/>
      <c r="AE10" s="69">
        <v>2</v>
      </c>
      <c r="AF10" s="69"/>
      <c r="AG10" s="45">
        <f t="shared" si="0"/>
        <v>6</v>
      </c>
    </row>
    <row r="11" spans="1:33" x14ac:dyDescent="0.35">
      <c r="A11" s="45">
        <v>10</v>
      </c>
      <c r="B11" s="71" t="s">
        <v>17</v>
      </c>
      <c r="C11" s="71"/>
      <c r="D11" s="71">
        <v>6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 t="s">
        <v>82</v>
      </c>
      <c r="AD11" s="71"/>
      <c r="AE11" s="71"/>
      <c r="AF11" s="71"/>
      <c r="AG11" s="45">
        <f t="shared" si="0"/>
        <v>6</v>
      </c>
    </row>
    <row r="12" spans="1:33" x14ac:dyDescent="0.35">
      <c r="A12" s="45">
        <v>11</v>
      </c>
      <c r="B12" s="8" t="s">
        <v>19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 t="s">
        <v>82</v>
      </c>
      <c r="X12" s="8"/>
      <c r="Y12" s="8"/>
      <c r="Z12" s="68"/>
      <c r="AA12" s="68"/>
      <c r="AB12" s="68"/>
      <c r="AC12" s="68"/>
      <c r="AD12" s="68"/>
      <c r="AE12" s="68"/>
      <c r="AF12" s="68"/>
      <c r="AG12" s="45">
        <f t="shared" si="0"/>
        <v>0</v>
      </c>
    </row>
  </sheetData>
  <sortState xmlns:xlrd2="http://schemas.microsoft.com/office/spreadsheetml/2017/richdata2" ref="B2:AG12">
    <sortCondition descending="1" ref="AG2:AG12"/>
    <sortCondition ref="B2:B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EF05-59C4-445E-9FB7-CA28C0FA2BC5}">
  <dimension ref="A1:F63"/>
  <sheetViews>
    <sheetView zoomScale="130" zoomScaleNormal="130" workbookViewId="0">
      <selection activeCell="B39" sqref="B39"/>
    </sheetView>
  </sheetViews>
  <sheetFormatPr defaultRowHeight="14.5" x14ac:dyDescent="0.35"/>
  <cols>
    <col min="1" max="1" width="8.36328125" style="61" bestFit="1" customWidth="1"/>
    <col min="2" max="3" width="40.08984375" bestFit="1" customWidth="1"/>
    <col min="4" max="4" width="12.08984375" bestFit="1" customWidth="1"/>
    <col min="5" max="5" width="10.81640625" bestFit="1" customWidth="1"/>
    <col min="6" max="6" width="5.26953125" bestFit="1" customWidth="1"/>
  </cols>
  <sheetData>
    <row r="1" spans="1:3" x14ac:dyDescent="0.35">
      <c r="A1" s="96" t="s">
        <v>1170</v>
      </c>
      <c r="B1" s="96"/>
      <c r="C1" s="96"/>
    </row>
    <row r="2" spans="1:3" x14ac:dyDescent="0.35">
      <c r="A2" s="73" t="s">
        <v>349</v>
      </c>
      <c r="B2" s="13" t="s">
        <v>27</v>
      </c>
      <c r="C2" s="13" t="s">
        <v>0</v>
      </c>
    </row>
    <row r="3" spans="1:3" x14ac:dyDescent="0.35">
      <c r="A3" s="73">
        <v>1</v>
      </c>
      <c r="B3" s="5" t="s">
        <v>68</v>
      </c>
      <c r="C3" s="5" t="s">
        <v>13</v>
      </c>
    </row>
    <row r="4" spans="1:3" x14ac:dyDescent="0.35">
      <c r="A4" s="73">
        <v>2</v>
      </c>
      <c r="B4" s="3" t="s">
        <v>61</v>
      </c>
      <c r="C4" s="3" t="s">
        <v>11</v>
      </c>
    </row>
    <row r="5" spans="1:3" x14ac:dyDescent="0.35">
      <c r="A5" s="73">
        <v>3</v>
      </c>
      <c r="B5" s="3" t="s">
        <v>65</v>
      </c>
      <c r="C5" s="3" t="s">
        <v>11</v>
      </c>
    </row>
    <row r="6" spans="1:3" x14ac:dyDescent="0.35">
      <c r="A6" s="73">
        <v>4</v>
      </c>
      <c r="B6" s="4" t="s">
        <v>64</v>
      </c>
      <c r="C6" s="4" t="s">
        <v>12</v>
      </c>
    </row>
    <row r="7" spans="1:3" x14ac:dyDescent="0.35">
      <c r="A7" s="73">
        <v>5</v>
      </c>
      <c r="B7" s="5" t="s">
        <v>62</v>
      </c>
      <c r="C7" s="5" t="s">
        <v>13</v>
      </c>
    </row>
    <row r="8" spans="1:3" x14ac:dyDescent="0.35">
      <c r="A8" s="73">
        <v>6</v>
      </c>
      <c r="B8" s="2" t="s">
        <v>81</v>
      </c>
      <c r="C8" s="2" t="s">
        <v>21</v>
      </c>
    </row>
    <row r="9" spans="1:3" x14ac:dyDescent="0.35">
      <c r="A9" s="73">
        <v>7</v>
      </c>
      <c r="B9" s="4" t="s">
        <v>71</v>
      </c>
      <c r="C9" s="4" t="s">
        <v>12</v>
      </c>
    </row>
    <row r="10" spans="1:3" x14ac:dyDescent="0.35">
      <c r="A10" s="73">
        <v>8</v>
      </c>
      <c r="B10" s="2" t="s">
        <v>63</v>
      </c>
      <c r="C10" s="2" t="s">
        <v>21</v>
      </c>
    </row>
    <row r="11" spans="1:3" x14ac:dyDescent="0.35">
      <c r="A11" s="73">
        <v>9</v>
      </c>
      <c r="B11" s="10" t="s">
        <v>70</v>
      </c>
      <c r="C11" s="10" t="s">
        <v>16</v>
      </c>
    </row>
    <row r="12" spans="1:3" x14ac:dyDescent="0.35">
      <c r="A12" s="73">
        <v>10</v>
      </c>
      <c r="B12" s="12" t="s">
        <v>67</v>
      </c>
      <c r="C12" s="12" t="s">
        <v>18</v>
      </c>
    </row>
    <row r="13" spans="1:3" x14ac:dyDescent="0.35">
      <c r="A13" s="73">
        <v>11</v>
      </c>
      <c r="B13" s="10" t="s">
        <v>73</v>
      </c>
      <c r="C13" s="10" t="s">
        <v>16</v>
      </c>
    </row>
    <row r="14" spans="1:3" x14ac:dyDescent="0.35">
      <c r="A14" s="73">
        <v>12</v>
      </c>
      <c r="B14" s="7" t="s">
        <v>66</v>
      </c>
      <c r="C14" s="7" t="s">
        <v>15</v>
      </c>
    </row>
    <row r="15" spans="1:3" x14ac:dyDescent="0.35">
      <c r="A15" s="73">
        <v>13</v>
      </c>
      <c r="B15" s="6" t="s">
        <v>72</v>
      </c>
      <c r="C15" s="6" t="s">
        <v>14</v>
      </c>
    </row>
    <row r="16" spans="1:3" x14ac:dyDescent="0.35">
      <c r="A16" s="73">
        <v>14</v>
      </c>
      <c r="B16" s="12" t="s">
        <v>69</v>
      </c>
      <c r="C16" s="12" t="s">
        <v>18</v>
      </c>
    </row>
    <row r="17" spans="1:6" x14ac:dyDescent="0.35">
      <c r="A17" s="73">
        <v>15</v>
      </c>
      <c r="B17" s="11" t="s">
        <v>76</v>
      </c>
      <c r="C17" s="11" t="s">
        <v>17</v>
      </c>
    </row>
    <row r="18" spans="1:6" x14ac:dyDescent="0.35">
      <c r="A18" s="73">
        <v>16</v>
      </c>
      <c r="B18" s="7" t="s">
        <v>74</v>
      </c>
      <c r="C18" s="7" t="s">
        <v>15</v>
      </c>
    </row>
    <row r="19" spans="1:6" x14ac:dyDescent="0.35">
      <c r="A19" s="73">
        <v>17</v>
      </c>
      <c r="B19" s="9" t="s">
        <v>75</v>
      </c>
      <c r="C19" s="9" t="s">
        <v>20</v>
      </c>
    </row>
    <row r="20" spans="1:6" x14ac:dyDescent="0.35">
      <c r="A20" s="73">
        <v>18</v>
      </c>
      <c r="B20" s="6" t="s">
        <v>78</v>
      </c>
      <c r="C20" s="6" t="s">
        <v>14</v>
      </c>
    </row>
    <row r="21" spans="1:6" x14ac:dyDescent="0.35">
      <c r="A21" s="73">
        <v>19</v>
      </c>
      <c r="B21" s="8" t="s">
        <v>77</v>
      </c>
      <c r="C21" s="8" t="s">
        <v>19</v>
      </c>
    </row>
    <row r="22" spans="1:6" x14ac:dyDescent="0.35">
      <c r="A22" s="73">
        <v>20</v>
      </c>
      <c r="B22" s="11" t="s">
        <v>125</v>
      </c>
      <c r="C22" s="11" t="s">
        <v>17</v>
      </c>
    </row>
    <row r="23" spans="1:6" x14ac:dyDescent="0.35">
      <c r="A23" s="73">
        <v>21</v>
      </c>
      <c r="B23" s="9" t="s">
        <v>79</v>
      </c>
      <c r="C23" s="9" t="s">
        <v>20</v>
      </c>
    </row>
    <row r="24" spans="1:6" x14ac:dyDescent="0.35">
      <c r="A24" s="73">
        <v>22</v>
      </c>
      <c r="B24" s="8" t="s">
        <v>80</v>
      </c>
      <c r="C24" s="8" t="s">
        <v>19</v>
      </c>
    </row>
    <row r="26" spans="1:6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3" t="s">
        <v>61</v>
      </c>
      <c r="C28" s="3" t="s">
        <v>11</v>
      </c>
      <c r="D28" s="26" t="s">
        <v>88</v>
      </c>
      <c r="E28" s="26" t="s">
        <v>109</v>
      </c>
      <c r="F28" s="3">
        <v>25</v>
      </c>
    </row>
    <row r="29" spans="1:6" x14ac:dyDescent="0.35">
      <c r="A29" s="73">
        <v>2</v>
      </c>
      <c r="B29" s="5" t="s">
        <v>62</v>
      </c>
      <c r="C29" s="5" t="s">
        <v>13</v>
      </c>
      <c r="D29" s="27" t="s">
        <v>89</v>
      </c>
      <c r="E29" s="27" t="s">
        <v>110</v>
      </c>
      <c r="F29" s="5">
        <v>18</v>
      </c>
    </row>
    <row r="30" spans="1:6" x14ac:dyDescent="0.35">
      <c r="A30" s="73">
        <v>3</v>
      </c>
      <c r="B30" s="2" t="s">
        <v>63</v>
      </c>
      <c r="C30" s="2" t="s">
        <v>21</v>
      </c>
      <c r="D30" s="28" t="s">
        <v>90</v>
      </c>
      <c r="E30" s="28" t="s">
        <v>111</v>
      </c>
      <c r="F30" s="2">
        <v>15</v>
      </c>
    </row>
    <row r="31" spans="1:6" x14ac:dyDescent="0.35">
      <c r="A31" s="73">
        <v>4</v>
      </c>
      <c r="B31" s="4" t="s">
        <v>64</v>
      </c>
      <c r="C31" s="4" t="s">
        <v>12</v>
      </c>
      <c r="D31" s="29" t="s">
        <v>91</v>
      </c>
      <c r="E31" s="29" t="s">
        <v>112</v>
      </c>
      <c r="F31" s="4">
        <v>12</v>
      </c>
    </row>
    <row r="32" spans="1:6" x14ac:dyDescent="0.35">
      <c r="A32" s="73">
        <v>5</v>
      </c>
      <c r="B32" s="3" t="s">
        <v>65</v>
      </c>
      <c r="C32" s="3" t="s">
        <v>11</v>
      </c>
      <c r="D32" s="26" t="s">
        <v>92</v>
      </c>
      <c r="E32" s="26" t="s">
        <v>113</v>
      </c>
      <c r="F32" s="3">
        <v>10</v>
      </c>
    </row>
    <row r="33" spans="1:6" x14ac:dyDescent="0.35">
      <c r="A33" s="73">
        <v>6</v>
      </c>
      <c r="B33" s="7" t="s">
        <v>66</v>
      </c>
      <c r="C33" s="7" t="s">
        <v>15</v>
      </c>
      <c r="D33" s="30" t="s">
        <v>93</v>
      </c>
      <c r="E33" s="30" t="s">
        <v>114</v>
      </c>
      <c r="F33" s="7">
        <v>8</v>
      </c>
    </row>
    <row r="34" spans="1:6" x14ac:dyDescent="0.35">
      <c r="A34" s="73">
        <v>7</v>
      </c>
      <c r="B34" s="12" t="s">
        <v>67</v>
      </c>
      <c r="C34" s="12" t="s">
        <v>18</v>
      </c>
      <c r="D34" s="31" t="s">
        <v>94</v>
      </c>
      <c r="E34" s="31" t="s">
        <v>115</v>
      </c>
      <c r="F34" s="12">
        <v>6</v>
      </c>
    </row>
    <row r="35" spans="1:6" x14ac:dyDescent="0.35">
      <c r="A35" s="73">
        <v>8</v>
      </c>
      <c r="B35" s="5" t="s">
        <v>68</v>
      </c>
      <c r="C35" s="5" t="s">
        <v>13</v>
      </c>
      <c r="D35" s="27" t="s">
        <v>95</v>
      </c>
      <c r="E35" s="27" t="s">
        <v>116</v>
      </c>
      <c r="F35" s="5">
        <v>4</v>
      </c>
    </row>
    <row r="36" spans="1:6" x14ac:dyDescent="0.35">
      <c r="A36" s="73">
        <v>9</v>
      </c>
      <c r="B36" s="12" t="s">
        <v>69</v>
      </c>
      <c r="C36" s="12" t="s">
        <v>18</v>
      </c>
      <c r="D36" s="31" t="s">
        <v>96</v>
      </c>
      <c r="E36" s="31" t="s">
        <v>117</v>
      </c>
      <c r="F36" s="12">
        <v>2</v>
      </c>
    </row>
    <row r="37" spans="1:6" x14ac:dyDescent="0.35">
      <c r="A37" s="73">
        <v>10</v>
      </c>
      <c r="B37" s="10" t="s">
        <v>70</v>
      </c>
      <c r="C37" s="10" t="s">
        <v>16</v>
      </c>
      <c r="D37" s="32" t="s">
        <v>97</v>
      </c>
      <c r="E37" s="32" t="s">
        <v>118</v>
      </c>
      <c r="F37" s="10">
        <v>1</v>
      </c>
    </row>
    <row r="38" spans="1:6" x14ac:dyDescent="0.35">
      <c r="A38" s="73">
        <v>11</v>
      </c>
      <c r="B38" s="4" t="s">
        <v>71</v>
      </c>
      <c r="C38" s="4" t="s">
        <v>12</v>
      </c>
      <c r="D38" s="29" t="s">
        <v>98</v>
      </c>
      <c r="E38" s="29" t="s">
        <v>119</v>
      </c>
      <c r="F38" s="4">
        <v>0</v>
      </c>
    </row>
    <row r="39" spans="1:6" x14ac:dyDescent="0.35">
      <c r="A39" s="73">
        <v>12</v>
      </c>
      <c r="B39" s="6" t="s">
        <v>72</v>
      </c>
      <c r="C39" s="6" t="s">
        <v>14</v>
      </c>
      <c r="D39" s="33" t="s">
        <v>87</v>
      </c>
      <c r="E39" s="33" t="s">
        <v>120</v>
      </c>
      <c r="F39" s="6">
        <v>0</v>
      </c>
    </row>
    <row r="40" spans="1:6" x14ac:dyDescent="0.35">
      <c r="A40" s="73">
        <v>13</v>
      </c>
      <c r="B40" s="10" t="s">
        <v>73</v>
      </c>
      <c r="C40" s="10" t="s">
        <v>16</v>
      </c>
      <c r="D40" s="32" t="s">
        <v>99</v>
      </c>
      <c r="E40" s="32" t="s">
        <v>121</v>
      </c>
      <c r="F40" s="10">
        <v>0</v>
      </c>
    </row>
    <row r="41" spans="1:6" x14ac:dyDescent="0.35">
      <c r="A41" s="73">
        <v>14</v>
      </c>
      <c r="B41" s="7" t="s">
        <v>74</v>
      </c>
      <c r="C41" s="7" t="s">
        <v>15</v>
      </c>
      <c r="D41" s="34" t="s">
        <v>100</v>
      </c>
      <c r="E41" s="30" t="s">
        <v>122</v>
      </c>
      <c r="F41" s="7">
        <v>0</v>
      </c>
    </row>
    <row r="42" spans="1:6" x14ac:dyDescent="0.35">
      <c r="A42" s="73">
        <v>15</v>
      </c>
      <c r="B42" s="9" t="s">
        <v>75</v>
      </c>
      <c r="C42" s="9" t="s">
        <v>20</v>
      </c>
      <c r="D42" s="35" t="s">
        <v>101</v>
      </c>
      <c r="E42" s="35" t="s">
        <v>122</v>
      </c>
      <c r="F42" s="9">
        <v>0</v>
      </c>
    </row>
    <row r="43" spans="1:6" x14ac:dyDescent="0.35">
      <c r="A43" s="73">
        <v>16</v>
      </c>
      <c r="B43" s="11" t="s">
        <v>76</v>
      </c>
      <c r="C43" s="11" t="s">
        <v>17</v>
      </c>
      <c r="D43" s="36" t="s">
        <v>102</v>
      </c>
      <c r="E43" s="36" t="s">
        <v>122</v>
      </c>
      <c r="F43" s="11">
        <v>0</v>
      </c>
    </row>
    <row r="44" spans="1:6" x14ac:dyDescent="0.35">
      <c r="A44" s="73">
        <v>17</v>
      </c>
      <c r="B44" s="8" t="s">
        <v>77</v>
      </c>
      <c r="C44" s="8" t="s">
        <v>19</v>
      </c>
      <c r="D44" s="37" t="s">
        <v>103</v>
      </c>
      <c r="E44" s="37" t="s">
        <v>122</v>
      </c>
      <c r="F44" s="8">
        <v>0</v>
      </c>
    </row>
    <row r="45" spans="1:6" x14ac:dyDescent="0.35">
      <c r="A45" s="73">
        <v>18</v>
      </c>
      <c r="B45" s="6" t="s">
        <v>78</v>
      </c>
      <c r="C45" s="6" t="s">
        <v>14</v>
      </c>
      <c r="D45" s="33" t="s">
        <v>104</v>
      </c>
      <c r="E45" s="33" t="s">
        <v>122</v>
      </c>
      <c r="F45" s="6">
        <v>0</v>
      </c>
    </row>
    <row r="46" spans="1:6" x14ac:dyDescent="0.35">
      <c r="A46" s="73">
        <v>19</v>
      </c>
      <c r="B46" s="9" t="s">
        <v>79</v>
      </c>
      <c r="C46" s="9" t="s">
        <v>20</v>
      </c>
      <c r="D46" s="35" t="s">
        <v>105</v>
      </c>
      <c r="E46" s="35" t="s">
        <v>122</v>
      </c>
      <c r="F46" s="9">
        <v>0</v>
      </c>
    </row>
    <row r="47" spans="1:6" x14ac:dyDescent="0.35">
      <c r="A47" s="73">
        <v>20</v>
      </c>
      <c r="B47" s="8" t="s">
        <v>80</v>
      </c>
      <c r="C47" s="8" t="s">
        <v>19</v>
      </c>
      <c r="D47" s="37" t="s">
        <v>106</v>
      </c>
      <c r="E47" s="37" t="s">
        <v>122</v>
      </c>
      <c r="F47" s="8">
        <v>0</v>
      </c>
    </row>
    <row r="48" spans="1:6" x14ac:dyDescent="0.35">
      <c r="A48" s="73">
        <v>21</v>
      </c>
      <c r="B48" s="11" t="s">
        <v>125</v>
      </c>
      <c r="C48" s="11" t="s">
        <v>17</v>
      </c>
      <c r="D48" s="36" t="s">
        <v>107</v>
      </c>
      <c r="E48" s="36" t="s">
        <v>123</v>
      </c>
      <c r="F48" s="11">
        <v>0</v>
      </c>
    </row>
    <row r="49" spans="1:6" x14ac:dyDescent="0.35">
      <c r="A49" s="73">
        <v>22</v>
      </c>
      <c r="B49" s="2" t="s">
        <v>81</v>
      </c>
      <c r="C49" s="2" t="s">
        <v>21</v>
      </c>
      <c r="D49" s="28" t="s">
        <v>108</v>
      </c>
      <c r="E49" s="17" t="s">
        <v>124</v>
      </c>
      <c r="F49" s="2" t="s">
        <v>82</v>
      </c>
    </row>
    <row r="51" spans="1:6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3" t="s">
        <v>11</v>
      </c>
      <c r="C53" s="3">
        <f t="shared" ref="C53:C63" si="0">SUMIF($C$28:$C$49,B53,$F$28:$F$49)</f>
        <v>35</v>
      </c>
    </row>
    <row r="54" spans="1:6" x14ac:dyDescent="0.35">
      <c r="A54" s="73">
        <v>2</v>
      </c>
      <c r="B54" s="5" t="s">
        <v>13</v>
      </c>
      <c r="C54" s="5">
        <f t="shared" si="0"/>
        <v>22</v>
      </c>
    </row>
    <row r="55" spans="1:6" x14ac:dyDescent="0.35">
      <c r="A55" s="73">
        <v>3</v>
      </c>
      <c r="B55" s="2" t="s">
        <v>21</v>
      </c>
      <c r="C55" s="2">
        <f t="shared" si="0"/>
        <v>15</v>
      </c>
    </row>
    <row r="56" spans="1:6" x14ac:dyDescent="0.35">
      <c r="A56" s="73">
        <v>4</v>
      </c>
      <c r="B56" s="4" t="s">
        <v>12</v>
      </c>
      <c r="C56" s="4">
        <f t="shared" si="0"/>
        <v>12</v>
      </c>
    </row>
    <row r="57" spans="1:6" x14ac:dyDescent="0.35">
      <c r="A57" s="73">
        <v>5</v>
      </c>
      <c r="B57" s="7" t="s">
        <v>15</v>
      </c>
      <c r="C57" s="7">
        <f t="shared" si="0"/>
        <v>8</v>
      </c>
    </row>
    <row r="58" spans="1:6" x14ac:dyDescent="0.35">
      <c r="A58" s="73">
        <v>6</v>
      </c>
      <c r="B58" s="12" t="s">
        <v>18</v>
      </c>
      <c r="C58" s="12">
        <f t="shared" si="0"/>
        <v>8</v>
      </c>
    </row>
    <row r="59" spans="1:6" x14ac:dyDescent="0.35">
      <c r="A59" s="73">
        <v>7</v>
      </c>
      <c r="B59" s="10" t="s">
        <v>16</v>
      </c>
      <c r="C59" s="10">
        <f t="shared" si="0"/>
        <v>1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8F52-8DAE-4EC4-A50E-1DC18AAAB257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style="42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3" t="s">
        <v>61</v>
      </c>
      <c r="C3" s="3" t="s">
        <v>11</v>
      </c>
      <c r="D3" s="40"/>
    </row>
    <row r="4" spans="1:4" x14ac:dyDescent="0.35">
      <c r="A4" s="73">
        <v>2</v>
      </c>
      <c r="B4" s="3" t="s">
        <v>65</v>
      </c>
      <c r="C4" s="3" t="s">
        <v>11</v>
      </c>
      <c r="D4" s="40"/>
    </row>
    <row r="5" spans="1:4" x14ac:dyDescent="0.35">
      <c r="A5" s="73">
        <v>3</v>
      </c>
      <c r="B5" s="2" t="s">
        <v>81</v>
      </c>
      <c r="C5" s="2" t="s">
        <v>21</v>
      </c>
      <c r="D5" s="41"/>
    </row>
    <row r="6" spans="1:4" x14ac:dyDescent="0.35">
      <c r="A6" s="73">
        <v>4</v>
      </c>
      <c r="B6" s="2" t="s">
        <v>63</v>
      </c>
      <c r="C6" s="2" t="s">
        <v>21</v>
      </c>
      <c r="D6" s="41"/>
    </row>
    <row r="7" spans="1:4" x14ac:dyDescent="0.35">
      <c r="A7" s="73">
        <v>5</v>
      </c>
      <c r="B7" s="5" t="s">
        <v>62</v>
      </c>
      <c r="C7" s="5" t="s">
        <v>13</v>
      </c>
      <c r="D7" s="40"/>
    </row>
    <row r="8" spans="1:4" x14ac:dyDescent="0.35">
      <c r="A8" s="73">
        <v>6</v>
      </c>
      <c r="B8" s="5" t="s">
        <v>68</v>
      </c>
      <c r="C8" s="5" t="s">
        <v>13</v>
      </c>
      <c r="D8" s="40"/>
    </row>
    <row r="9" spans="1:4" x14ac:dyDescent="0.35">
      <c r="A9" s="73">
        <v>7</v>
      </c>
      <c r="B9" s="4" t="s">
        <v>64</v>
      </c>
      <c r="C9" s="4" t="s">
        <v>12</v>
      </c>
      <c r="D9" s="41"/>
    </row>
    <row r="10" spans="1:4" x14ac:dyDescent="0.35">
      <c r="A10" s="73">
        <v>8</v>
      </c>
      <c r="B10" s="10" t="s">
        <v>73</v>
      </c>
      <c r="C10" s="10" t="s">
        <v>16</v>
      </c>
      <c r="D10" s="40"/>
    </row>
    <row r="11" spans="1:4" x14ac:dyDescent="0.35">
      <c r="A11" s="73">
        <v>9</v>
      </c>
      <c r="B11" s="12" t="s">
        <v>67</v>
      </c>
      <c r="C11" s="12" t="s">
        <v>18</v>
      </c>
      <c r="D11" s="41"/>
    </row>
    <row r="12" spans="1:4" x14ac:dyDescent="0.35">
      <c r="A12" s="73">
        <v>10</v>
      </c>
      <c r="B12" s="10" t="s">
        <v>70</v>
      </c>
      <c r="C12" s="10" t="s">
        <v>16</v>
      </c>
      <c r="D12" s="41"/>
    </row>
    <row r="13" spans="1:4" x14ac:dyDescent="0.35">
      <c r="A13" s="73">
        <v>11</v>
      </c>
      <c r="B13" s="6" t="s">
        <v>72</v>
      </c>
      <c r="C13" s="6" t="s">
        <v>14</v>
      </c>
      <c r="D13" s="41"/>
    </row>
    <row r="14" spans="1:4" x14ac:dyDescent="0.35">
      <c r="A14" s="73">
        <v>12</v>
      </c>
      <c r="B14" s="7" t="s">
        <v>66</v>
      </c>
      <c r="C14" s="7" t="s">
        <v>15</v>
      </c>
      <c r="D14" s="41"/>
    </row>
    <row r="15" spans="1:4" x14ac:dyDescent="0.35">
      <c r="A15" s="73">
        <v>13</v>
      </c>
      <c r="B15" s="4" t="s">
        <v>71</v>
      </c>
      <c r="C15" s="4" t="s">
        <v>12</v>
      </c>
      <c r="D15" s="41"/>
    </row>
    <row r="16" spans="1:4" x14ac:dyDescent="0.35">
      <c r="A16" s="73">
        <v>14</v>
      </c>
      <c r="B16" s="12" t="s">
        <v>69</v>
      </c>
      <c r="C16" s="12" t="s">
        <v>18</v>
      </c>
      <c r="D16" s="40"/>
    </row>
    <row r="17" spans="1:6" x14ac:dyDescent="0.35">
      <c r="A17" s="73">
        <v>15</v>
      </c>
      <c r="B17" s="6" t="s">
        <v>78</v>
      </c>
      <c r="C17" s="6" t="s">
        <v>14</v>
      </c>
      <c r="D17" s="41"/>
    </row>
    <row r="18" spans="1:6" x14ac:dyDescent="0.35">
      <c r="A18" s="73">
        <v>16</v>
      </c>
      <c r="B18" s="9" t="s">
        <v>75</v>
      </c>
      <c r="C18" s="9" t="s">
        <v>20</v>
      </c>
      <c r="D18" s="40"/>
    </row>
    <row r="19" spans="1:6" x14ac:dyDescent="0.35">
      <c r="A19" s="73">
        <v>17</v>
      </c>
      <c r="B19" s="11" t="s">
        <v>76</v>
      </c>
      <c r="C19" s="11" t="s">
        <v>17</v>
      </c>
      <c r="D19" s="41"/>
    </row>
    <row r="20" spans="1:6" x14ac:dyDescent="0.35">
      <c r="A20" s="73">
        <v>18</v>
      </c>
      <c r="B20" s="8" t="s">
        <v>77</v>
      </c>
      <c r="C20" s="8" t="s">
        <v>19</v>
      </c>
      <c r="D20" s="41"/>
    </row>
    <row r="21" spans="1:6" x14ac:dyDescent="0.35">
      <c r="A21" s="73">
        <v>19</v>
      </c>
      <c r="B21" s="8" t="s">
        <v>80</v>
      </c>
      <c r="C21" s="8" t="s">
        <v>19</v>
      </c>
      <c r="D21" s="41"/>
    </row>
    <row r="22" spans="1:6" x14ac:dyDescent="0.35">
      <c r="A22" s="73">
        <v>20</v>
      </c>
      <c r="B22" s="7" t="s">
        <v>74</v>
      </c>
      <c r="C22" s="7" t="s">
        <v>15</v>
      </c>
      <c r="D22" s="41"/>
    </row>
    <row r="23" spans="1:6" x14ac:dyDescent="0.35">
      <c r="A23" s="73">
        <v>21</v>
      </c>
      <c r="B23" s="9" t="s">
        <v>79</v>
      </c>
      <c r="C23" s="9" t="s">
        <v>20</v>
      </c>
      <c r="D23" s="40"/>
    </row>
    <row r="24" spans="1:6" x14ac:dyDescent="0.35">
      <c r="A24" s="73">
        <v>22</v>
      </c>
      <c r="B24" s="11" t="s">
        <v>125</v>
      </c>
      <c r="C24" s="11" t="s">
        <v>17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12" t="s">
        <v>67</v>
      </c>
      <c r="C28" s="12" t="s">
        <v>18</v>
      </c>
      <c r="D28" s="31" t="s">
        <v>177</v>
      </c>
      <c r="E28" s="20" t="s">
        <v>198</v>
      </c>
      <c r="F28" s="12">
        <v>25</v>
      </c>
    </row>
    <row r="29" spans="1:6" x14ac:dyDescent="0.35">
      <c r="A29" s="73">
        <v>2</v>
      </c>
      <c r="B29" s="3" t="s">
        <v>61</v>
      </c>
      <c r="C29" s="3" t="s">
        <v>11</v>
      </c>
      <c r="D29" s="26" t="s">
        <v>178</v>
      </c>
      <c r="E29" s="15" t="s">
        <v>199</v>
      </c>
      <c r="F29" s="3">
        <v>18</v>
      </c>
    </row>
    <row r="30" spans="1:6" x14ac:dyDescent="0.35">
      <c r="A30" s="73">
        <v>3</v>
      </c>
      <c r="B30" s="5" t="s">
        <v>62</v>
      </c>
      <c r="C30" s="5" t="s">
        <v>13</v>
      </c>
      <c r="D30" s="27" t="s">
        <v>179</v>
      </c>
      <c r="E30" s="16" t="s">
        <v>200</v>
      </c>
      <c r="F30" s="5">
        <v>15</v>
      </c>
    </row>
    <row r="31" spans="1:6" x14ac:dyDescent="0.35">
      <c r="A31" s="73">
        <v>4</v>
      </c>
      <c r="B31" s="4" t="s">
        <v>64</v>
      </c>
      <c r="C31" s="4" t="s">
        <v>12</v>
      </c>
      <c r="D31" s="38" t="s">
        <v>180</v>
      </c>
      <c r="E31" s="18" t="s">
        <v>201</v>
      </c>
      <c r="F31" s="4">
        <v>13</v>
      </c>
    </row>
    <row r="32" spans="1:6" x14ac:dyDescent="0.35">
      <c r="A32" s="73">
        <v>5</v>
      </c>
      <c r="B32" s="6" t="s">
        <v>72</v>
      </c>
      <c r="C32" s="6" t="s">
        <v>14</v>
      </c>
      <c r="D32" s="33" t="s">
        <v>181</v>
      </c>
      <c r="E32" s="22" t="s">
        <v>202</v>
      </c>
      <c r="F32" s="6">
        <v>10</v>
      </c>
    </row>
    <row r="33" spans="1:6" x14ac:dyDescent="0.35">
      <c r="A33" s="73">
        <v>6</v>
      </c>
      <c r="B33" s="5" t="s">
        <v>68</v>
      </c>
      <c r="C33" s="5" t="s">
        <v>13</v>
      </c>
      <c r="D33" s="27" t="s">
        <v>182</v>
      </c>
      <c r="E33" s="16" t="s">
        <v>203</v>
      </c>
      <c r="F33" s="5">
        <v>8</v>
      </c>
    </row>
    <row r="34" spans="1:6" x14ac:dyDescent="0.35">
      <c r="A34" s="73">
        <v>7</v>
      </c>
      <c r="B34" s="11" t="s">
        <v>76</v>
      </c>
      <c r="C34" s="11" t="s">
        <v>17</v>
      </c>
      <c r="D34" s="36" t="s">
        <v>183</v>
      </c>
      <c r="E34" s="24" t="s">
        <v>204</v>
      </c>
      <c r="F34" s="11">
        <v>6</v>
      </c>
    </row>
    <row r="35" spans="1:6" x14ac:dyDescent="0.35">
      <c r="A35" s="73">
        <v>8</v>
      </c>
      <c r="B35" s="2" t="s">
        <v>81</v>
      </c>
      <c r="C35" s="2" t="s">
        <v>21</v>
      </c>
      <c r="D35" s="28" t="s">
        <v>177</v>
      </c>
      <c r="E35" s="17" t="s">
        <v>205</v>
      </c>
      <c r="F35" s="2">
        <v>4</v>
      </c>
    </row>
    <row r="36" spans="1:6" x14ac:dyDescent="0.35">
      <c r="A36" s="73">
        <v>9</v>
      </c>
      <c r="B36" s="10" t="s">
        <v>73</v>
      </c>
      <c r="C36" s="10" t="s">
        <v>16</v>
      </c>
      <c r="D36" s="32" t="s">
        <v>184</v>
      </c>
      <c r="E36" s="21" t="s">
        <v>206</v>
      </c>
      <c r="F36" s="10">
        <v>2</v>
      </c>
    </row>
    <row r="37" spans="1:6" x14ac:dyDescent="0.35">
      <c r="A37" s="73">
        <v>10</v>
      </c>
      <c r="B37" s="9" t="s">
        <v>79</v>
      </c>
      <c r="C37" s="9" t="s">
        <v>20</v>
      </c>
      <c r="D37" s="35" t="s">
        <v>185</v>
      </c>
      <c r="E37" s="23" t="s">
        <v>207</v>
      </c>
      <c r="F37" s="9">
        <v>1</v>
      </c>
    </row>
    <row r="38" spans="1:6" x14ac:dyDescent="0.35">
      <c r="A38" s="73">
        <v>11</v>
      </c>
      <c r="B38" s="8" t="s">
        <v>77</v>
      </c>
      <c r="C38" s="8" t="s">
        <v>19</v>
      </c>
      <c r="D38" s="37" t="s">
        <v>186</v>
      </c>
      <c r="E38" s="25" t="s">
        <v>208</v>
      </c>
      <c r="F38" s="8">
        <v>0</v>
      </c>
    </row>
    <row r="39" spans="1:6" x14ac:dyDescent="0.35">
      <c r="A39" s="73">
        <v>12</v>
      </c>
      <c r="B39" s="6" t="s">
        <v>78</v>
      </c>
      <c r="C39" s="6" t="s">
        <v>14</v>
      </c>
      <c r="D39" s="33" t="s">
        <v>187</v>
      </c>
      <c r="E39" s="22" t="s">
        <v>209</v>
      </c>
      <c r="F39" s="6">
        <v>0</v>
      </c>
    </row>
    <row r="40" spans="1:6" x14ac:dyDescent="0.35">
      <c r="A40" s="73">
        <v>13</v>
      </c>
      <c r="B40" s="8" t="s">
        <v>80</v>
      </c>
      <c r="C40" s="8" t="s">
        <v>19</v>
      </c>
      <c r="D40" s="37" t="s">
        <v>188</v>
      </c>
      <c r="E40" s="25" t="s">
        <v>210</v>
      </c>
      <c r="F40" s="8">
        <v>0</v>
      </c>
    </row>
    <row r="41" spans="1:6" x14ac:dyDescent="0.35">
      <c r="A41" s="73">
        <v>14</v>
      </c>
      <c r="B41" s="11" t="s">
        <v>125</v>
      </c>
      <c r="C41" s="11" t="s">
        <v>17</v>
      </c>
      <c r="D41" s="36" t="s">
        <v>189</v>
      </c>
      <c r="E41" s="24" t="s">
        <v>211</v>
      </c>
      <c r="F41" s="11">
        <v>0</v>
      </c>
    </row>
    <row r="42" spans="1:6" x14ac:dyDescent="0.35">
      <c r="A42" s="73">
        <v>15</v>
      </c>
      <c r="B42" s="7" t="s">
        <v>66</v>
      </c>
      <c r="C42" s="7" t="s">
        <v>15</v>
      </c>
      <c r="D42" s="30" t="s">
        <v>190</v>
      </c>
      <c r="E42" s="19" t="s">
        <v>212</v>
      </c>
      <c r="F42" s="7">
        <v>0</v>
      </c>
    </row>
    <row r="43" spans="1:6" x14ac:dyDescent="0.35">
      <c r="A43" s="73">
        <v>16</v>
      </c>
      <c r="B43" s="7" t="s">
        <v>74</v>
      </c>
      <c r="C43" s="7" t="s">
        <v>15</v>
      </c>
      <c r="D43" s="30" t="s">
        <v>191</v>
      </c>
      <c r="E43" s="19" t="s">
        <v>124</v>
      </c>
      <c r="F43" s="7" t="s">
        <v>82</v>
      </c>
    </row>
    <row r="44" spans="1:6" x14ac:dyDescent="0.35">
      <c r="A44" s="73">
        <v>17</v>
      </c>
      <c r="B44" s="3" t="s">
        <v>65</v>
      </c>
      <c r="C44" s="3" t="s">
        <v>11</v>
      </c>
      <c r="D44" s="26" t="s">
        <v>192</v>
      </c>
      <c r="E44" s="15" t="s">
        <v>124</v>
      </c>
      <c r="F44" s="3" t="s">
        <v>82</v>
      </c>
    </row>
    <row r="45" spans="1:6" x14ac:dyDescent="0.35">
      <c r="A45" s="73">
        <v>18</v>
      </c>
      <c r="B45" s="2" t="s">
        <v>63</v>
      </c>
      <c r="C45" s="2" t="s">
        <v>21</v>
      </c>
      <c r="D45" s="28" t="s">
        <v>193</v>
      </c>
      <c r="E45" s="17" t="s">
        <v>124</v>
      </c>
      <c r="F45" s="2" t="s">
        <v>82</v>
      </c>
    </row>
    <row r="46" spans="1:6" x14ac:dyDescent="0.35">
      <c r="A46" s="73">
        <v>19</v>
      </c>
      <c r="B46" s="10" t="s">
        <v>70</v>
      </c>
      <c r="C46" s="10" t="s">
        <v>16</v>
      </c>
      <c r="D46" s="32" t="s">
        <v>194</v>
      </c>
      <c r="E46" s="21" t="s">
        <v>124</v>
      </c>
      <c r="F46" s="10" t="s">
        <v>82</v>
      </c>
    </row>
    <row r="47" spans="1:6" x14ac:dyDescent="0.35">
      <c r="A47" s="73">
        <v>20</v>
      </c>
      <c r="B47" s="4" t="s">
        <v>71</v>
      </c>
      <c r="C47" s="4" t="s">
        <v>12</v>
      </c>
      <c r="D47" s="29" t="s">
        <v>195</v>
      </c>
      <c r="E47" s="18" t="s">
        <v>124</v>
      </c>
      <c r="F47" s="4" t="s">
        <v>82</v>
      </c>
    </row>
    <row r="48" spans="1:6" x14ac:dyDescent="0.35">
      <c r="A48" s="73">
        <v>21</v>
      </c>
      <c r="B48" s="12" t="s">
        <v>69</v>
      </c>
      <c r="C48" s="12" t="s">
        <v>18</v>
      </c>
      <c r="D48" s="31" t="s">
        <v>196</v>
      </c>
      <c r="E48" s="20" t="s">
        <v>124</v>
      </c>
      <c r="F48" s="12" t="s">
        <v>82</v>
      </c>
    </row>
    <row r="49" spans="1:6" x14ac:dyDescent="0.35">
      <c r="A49" s="73">
        <v>22</v>
      </c>
      <c r="B49" s="9" t="s">
        <v>75</v>
      </c>
      <c r="C49" s="9" t="s">
        <v>20</v>
      </c>
      <c r="D49" s="35" t="s">
        <v>197</v>
      </c>
      <c r="E49" s="23" t="s">
        <v>124</v>
      </c>
      <c r="F49" s="9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12" t="s">
        <v>18</v>
      </c>
      <c r="C53" s="12">
        <f t="shared" ref="C53:C63" si="0">SUMIF($C$28:$C$49,B53,$F$28:$F$49)</f>
        <v>25</v>
      </c>
    </row>
    <row r="54" spans="1:6" x14ac:dyDescent="0.35">
      <c r="A54" s="73">
        <v>2</v>
      </c>
      <c r="B54" s="5" t="s">
        <v>13</v>
      </c>
      <c r="C54" s="5">
        <f t="shared" si="0"/>
        <v>23</v>
      </c>
    </row>
    <row r="55" spans="1:6" x14ac:dyDescent="0.35">
      <c r="A55" s="73">
        <v>3</v>
      </c>
      <c r="B55" s="3" t="s">
        <v>11</v>
      </c>
      <c r="C55" s="3">
        <f t="shared" si="0"/>
        <v>18</v>
      </c>
    </row>
    <row r="56" spans="1:6" x14ac:dyDescent="0.35">
      <c r="A56" s="73">
        <v>4</v>
      </c>
      <c r="B56" s="4" t="s">
        <v>12</v>
      </c>
      <c r="C56" s="4">
        <f t="shared" si="0"/>
        <v>13</v>
      </c>
    </row>
    <row r="57" spans="1:6" x14ac:dyDescent="0.35">
      <c r="A57" s="73">
        <v>5</v>
      </c>
      <c r="B57" s="6" t="s">
        <v>14</v>
      </c>
      <c r="C57" s="6">
        <f t="shared" si="0"/>
        <v>10</v>
      </c>
    </row>
    <row r="58" spans="1:6" x14ac:dyDescent="0.35">
      <c r="A58" s="73">
        <v>6</v>
      </c>
      <c r="B58" s="11" t="s">
        <v>17</v>
      </c>
      <c r="C58" s="11">
        <f t="shared" si="0"/>
        <v>6</v>
      </c>
    </row>
    <row r="59" spans="1:6" x14ac:dyDescent="0.35">
      <c r="A59" s="73">
        <v>7</v>
      </c>
      <c r="B59" s="2" t="s">
        <v>21</v>
      </c>
      <c r="C59" s="2">
        <f t="shared" si="0"/>
        <v>4</v>
      </c>
    </row>
    <row r="60" spans="1:6" x14ac:dyDescent="0.35">
      <c r="A60" s="73">
        <v>8</v>
      </c>
      <c r="B60" s="10" t="s">
        <v>16</v>
      </c>
      <c r="C60" s="10">
        <f t="shared" si="0"/>
        <v>2</v>
      </c>
    </row>
    <row r="61" spans="1:6" x14ac:dyDescent="0.35">
      <c r="A61" s="73">
        <v>9</v>
      </c>
      <c r="B61" s="9" t="s">
        <v>20</v>
      </c>
      <c r="C61" s="9">
        <f t="shared" si="0"/>
        <v>1</v>
      </c>
    </row>
    <row r="62" spans="1:6" x14ac:dyDescent="0.35">
      <c r="A62" s="73">
        <v>10</v>
      </c>
      <c r="B62" s="7" t="s">
        <v>15</v>
      </c>
      <c r="C62" s="7">
        <f t="shared" si="0"/>
        <v>0</v>
      </c>
    </row>
    <row r="63" spans="1:6" x14ac:dyDescent="0.35">
      <c r="A63" s="73">
        <v>11</v>
      </c>
      <c r="B63" s="8" t="s">
        <v>19</v>
      </c>
      <c r="C63" s="8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E6CE-0FB1-4721-8050-FE318984A4C9}">
  <dimension ref="A1:F63"/>
  <sheetViews>
    <sheetView topLeftCell="A34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3" t="s">
        <v>61</v>
      </c>
      <c r="C3" s="3" t="s">
        <v>11</v>
      </c>
      <c r="D3" s="40"/>
    </row>
    <row r="4" spans="1:4" x14ac:dyDescent="0.35">
      <c r="A4" s="73">
        <v>2</v>
      </c>
      <c r="B4" s="4" t="s">
        <v>64</v>
      </c>
      <c r="C4" s="4" t="s">
        <v>12</v>
      </c>
      <c r="D4" s="40"/>
    </row>
    <row r="5" spans="1:4" x14ac:dyDescent="0.35">
      <c r="A5" s="73">
        <v>3</v>
      </c>
      <c r="B5" s="5" t="s">
        <v>62</v>
      </c>
      <c r="C5" s="5" t="s">
        <v>13</v>
      </c>
      <c r="D5" s="41"/>
    </row>
    <row r="6" spans="1:4" x14ac:dyDescent="0.35">
      <c r="A6" s="73">
        <v>4</v>
      </c>
      <c r="B6" s="3" t="s">
        <v>65</v>
      </c>
      <c r="C6" s="3" t="s">
        <v>11</v>
      </c>
      <c r="D6" s="41"/>
    </row>
    <row r="7" spans="1:4" x14ac:dyDescent="0.35">
      <c r="A7" s="73">
        <v>5</v>
      </c>
      <c r="B7" s="12" t="s">
        <v>67</v>
      </c>
      <c r="C7" s="12" t="s">
        <v>18</v>
      </c>
      <c r="D7" s="40"/>
    </row>
    <row r="8" spans="1:4" x14ac:dyDescent="0.35">
      <c r="A8" s="73">
        <v>6</v>
      </c>
      <c r="B8" s="2" t="s">
        <v>63</v>
      </c>
      <c r="C8" s="2" t="s">
        <v>21</v>
      </c>
      <c r="D8" s="40"/>
    </row>
    <row r="9" spans="1:4" x14ac:dyDescent="0.35">
      <c r="A9" s="73">
        <v>7</v>
      </c>
      <c r="B9" s="6" t="s">
        <v>72</v>
      </c>
      <c r="C9" s="6" t="s">
        <v>14</v>
      </c>
    </row>
    <row r="10" spans="1:4" x14ac:dyDescent="0.35">
      <c r="A10" s="73">
        <v>8</v>
      </c>
      <c r="B10" s="7" t="s">
        <v>66</v>
      </c>
      <c r="C10" s="7" t="s">
        <v>15</v>
      </c>
      <c r="D10" s="40"/>
    </row>
    <row r="11" spans="1:4" x14ac:dyDescent="0.35">
      <c r="A11" s="73">
        <v>9</v>
      </c>
      <c r="B11" s="5" t="s">
        <v>68</v>
      </c>
      <c r="C11" s="5" t="s">
        <v>13</v>
      </c>
      <c r="D11" s="41"/>
    </row>
    <row r="12" spans="1:4" x14ac:dyDescent="0.35">
      <c r="A12" s="73">
        <v>10</v>
      </c>
      <c r="B12" s="10" t="s">
        <v>70</v>
      </c>
      <c r="C12" s="10" t="s">
        <v>16</v>
      </c>
      <c r="D12" s="41"/>
    </row>
    <row r="13" spans="1:4" x14ac:dyDescent="0.35">
      <c r="A13" s="73">
        <v>11</v>
      </c>
      <c r="B13" s="12" t="s">
        <v>69</v>
      </c>
      <c r="C13" s="12" t="s">
        <v>18</v>
      </c>
      <c r="D13" s="41"/>
    </row>
    <row r="14" spans="1:4" x14ac:dyDescent="0.35">
      <c r="A14" s="73">
        <v>12</v>
      </c>
      <c r="B14" s="10" t="s">
        <v>73</v>
      </c>
      <c r="C14" s="10" t="s">
        <v>16</v>
      </c>
      <c r="D14" s="41"/>
    </row>
    <row r="15" spans="1:4" x14ac:dyDescent="0.35">
      <c r="A15" s="73">
        <v>13</v>
      </c>
      <c r="B15" s="2" t="s">
        <v>81</v>
      </c>
      <c r="C15" s="2" t="s">
        <v>21</v>
      </c>
      <c r="D15" s="41"/>
    </row>
    <row r="16" spans="1:4" x14ac:dyDescent="0.35">
      <c r="A16" s="73">
        <v>14</v>
      </c>
      <c r="B16" s="11" t="s">
        <v>76</v>
      </c>
      <c r="C16" s="11" t="s">
        <v>17</v>
      </c>
      <c r="D16" s="40"/>
    </row>
    <row r="17" spans="1:6" x14ac:dyDescent="0.35">
      <c r="A17" s="73">
        <v>15</v>
      </c>
      <c r="B17" s="8" t="s">
        <v>77</v>
      </c>
      <c r="C17" s="8" t="s">
        <v>19</v>
      </c>
      <c r="D17" s="41"/>
    </row>
    <row r="18" spans="1:6" x14ac:dyDescent="0.35">
      <c r="A18" s="73">
        <v>16</v>
      </c>
      <c r="B18" s="9" t="s">
        <v>75</v>
      </c>
      <c r="C18" s="9" t="s">
        <v>20</v>
      </c>
      <c r="D18" s="40"/>
    </row>
    <row r="19" spans="1:6" x14ac:dyDescent="0.35">
      <c r="A19" s="73">
        <v>17</v>
      </c>
      <c r="B19" s="43" t="s">
        <v>71</v>
      </c>
      <c r="C19" s="43" t="s">
        <v>12</v>
      </c>
      <c r="D19" s="41"/>
    </row>
    <row r="20" spans="1:6" x14ac:dyDescent="0.35">
      <c r="A20" s="73">
        <v>18</v>
      </c>
      <c r="B20" s="6" t="s">
        <v>78</v>
      </c>
      <c r="C20" s="6" t="s">
        <v>14</v>
      </c>
      <c r="D20" s="41"/>
    </row>
    <row r="21" spans="1:6" x14ac:dyDescent="0.35">
      <c r="A21" s="73">
        <v>19</v>
      </c>
      <c r="B21" s="11" t="s">
        <v>125</v>
      </c>
      <c r="C21" s="11" t="s">
        <v>17</v>
      </c>
      <c r="D21" s="41"/>
    </row>
    <row r="22" spans="1:6" x14ac:dyDescent="0.35">
      <c r="A22" s="73">
        <v>20</v>
      </c>
      <c r="B22" s="8" t="s">
        <v>80</v>
      </c>
      <c r="C22" s="8" t="s">
        <v>19</v>
      </c>
      <c r="D22" s="41"/>
    </row>
    <row r="23" spans="1:6" x14ac:dyDescent="0.35">
      <c r="A23" s="73">
        <v>21</v>
      </c>
      <c r="B23" s="9" t="s">
        <v>79</v>
      </c>
      <c r="C23" s="9" t="s">
        <v>20</v>
      </c>
      <c r="D23" s="40"/>
    </row>
    <row r="24" spans="1:6" x14ac:dyDescent="0.35">
      <c r="A24" s="73">
        <v>22</v>
      </c>
      <c r="B24" s="7" t="s">
        <v>74</v>
      </c>
      <c r="C24" s="7" t="s">
        <v>15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3" t="s">
        <v>61</v>
      </c>
      <c r="C28" s="3" t="s">
        <v>11</v>
      </c>
      <c r="D28" s="26" t="s">
        <v>213</v>
      </c>
      <c r="E28" s="15" t="s">
        <v>234</v>
      </c>
      <c r="F28" s="3">
        <v>25</v>
      </c>
    </row>
    <row r="29" spans="1:6" x14ac:dyDescent="0.35">
      <c r="A29" s="73">
        <v>2</v>
      </c>
      <c r="B29" s="5" t="s">
        <v>62</v>
      </c>
      <c r="C29" s="5" t="s">
        <v>13</v>
      </c>
      <c r="D29" s="27" t="s">
        <v>214</v>
      </c>
      <c r="E29" s="16" t="s">
        <v>235</v>
      </c>
      <c r="F29" s="5">
        <v>18</v>
      </c>
    </row>
    <row r="30" spans="1:6" x14ac:dyDescent="0.35">
      <c r="A30" s="73">
        <v>3</v>
      </c>
      <c r="B30" s="5" t="s">
        <v>68</v>
      </c>
      <c r="C30" s="5" t="s">
        <v>13</v>
      </c>
      <c r="D30" s="27" t="s">
        <v>215</v>
      </c>
      <c r="E30" s="16" t="s">
        <v>236</v>
      </c>
      <c r="F30" s="5">
        <v>15</v>
      </c>
    </row>
    <row r="31" spans="1:6" x14ac:dyDescent="0.35">
      <c r="A31" s="73">
        <v>4</v>
      </c>
      <c r="B31" s="3" t="s">
        <v>65</v>
      </c>
      <c r="C31" s="3" t="s">
        <v>11</v>
      </c>
      <c r="D31" s="26" t="s">
        <v>216</v>
      </c>
      <c r="E31" s="15" t="s">
        <v>237</v>
      </c>
      <c r="F31" s="3">
        <v>12</v>
      </c>
    </row>
    <row r="32" spans="1:6" x14ac:dyDescent="0.35">
      <c r="A32" s="73">
        <v>5</v>
      </c>
      <c r="B32" s="12" t="s">
        <v>67</v>
      </c>
      <c r="C32" s="12" t="s">
        <v>18</v>
      </c>
      <c r="D32" s="31" t="s">
        <v>217</v>
      </c>
      <c r="E32" s="20" t="s">
        <v>238</v>
      </c>
      <c r="F32" s="12">
        <v>10</v>
      </c>
    </row>
    <row r="33" spans="1:6" x14ac:dyDescent="0.35">
      <c r="A33" s="73">
        <v>6</v>
      </c>
      <c r="B33" s="2" t="s">
        <v>81</v>
      </c>
      <c r="C33" s="2" t="s">
        <v>21</v>
      </c>
      <c r="D33" s="28" t="s">
        <v>218</v>
      </c>
      <c r="E33" s="17" t="s">
        <v>239</v>
      </c>
      <c r="F33" s="2">
        <v>8</v>
      </c>
    </row>
    <row r="34" spans="1:6" x14ac:dyDescent="0.35">
      <c r="A34" s="73">
        <v>7</v>
      </c>
      <c r="B34" s="7" t="s">
        <v>66</v>
      </c>
      <c r="C34" s="7" t="s">
        <v>15</v>
      </c>
      <c r="D34" s="30" t="s">
        <v>219</v>
      </c>
      <c r="E34" s="19" t="s">
        <v>240</v>
      </c>
      <c r="F34" s="7">
        <v>6</v>
      </c>
    </row>
    <row r="35" spans="1:6" x14ac:dyDescent="0.35">
      <c r="A35" s="73">
        <v>8</v>
      </c>
      <c r="B35" s="4" t="s">
        <v>64</v>
      </c>
      <c r="C35" s="4" t="s">
        <v>12</v>
      </c>
      <c r="D35" s="38" t="s">
        <v>220</v>
      </c>
      <c r="E35" s="18" t="s">
        <v>241</v>
      </c>
      <c r="F35" s="4">
        <v>5</v>
      </c>
    </row>
    <row r="36" spans="1:6" x14ac:dyDescent="0.35">
      <c r="A36" s="73">
        <v>9</v>
      </c>
      <c r="B36" s="6" t="s">
        <v>72</v>
      </c>
      <c r="C36" s="6" t="s">
        <v>14</v>
      </c>
      <c r="D36" s="33" t="s">
        <v>221</v>
      </c>
      <c r="E36" s="22" t="s">
        <v>242</v>
      </c>
      <c r="F36" s="6">
        <v>2</v>
      </c>
    </row>
    <row r="37" spans="1:6" x14ac:dyDescent="0.35">
      <c r="A37" s="73">
        <v>10</v>
      </c>
      <c r="B37" s="4" t="s">
        <v>71</v>
      </c>
      <c r="C37" s="4" t="s">
        <v>12</v>
      </c>
      <c r="D37" s="29" t="s">
        <v>222</v>
      </c>
      <c r="E37" s="18" t="s">
        <v>243</v>
      </c>
      <c r="F37" s="4">
        <v>1</v>
      </c>
    </row>
    <row r="38" spans="1:6" x14ac:dyDescent="0.35">
      <c r="A38" s="73">
        <v>11</v>
      </c>
      <c r="B38" s="2" t="s">
        <v>63</v>
      </c>
      <c r="C38" s="2" t="s">
        <v>21</v>
      </c>
      <c r="D38" s="28" t="s">
        <v>223</v>
      </c>
      <c r="E38" s="17" t="s">
        <v>244</v>
      </c>
      <c r="F38" s="2">
        <v>0</v>
      </c>
    </row>
    <row r="39" spans="1:6" x14ac:dyDescent="0.35">
      <c r="A39" s="73">
        <v>12</v>
      </c>
      <c r="B39" s="10" t="s">
        <v>70</v>
      </c>
      <c r="C39" s="10" t="s">
        <v>16</v>
      </c>
      <c r="D39" s="32" t="s">
        <v>214</v>
      </c>
      <c r="E39" s="21" t="s">
        <v>122</v>
      </c>
      <c r="F39" s="10">
        <v>0</v>
      </c>
    </row>
    <row r="40" spans="1:6" x14ac:dyDescent="0.35">
      <c r="A40" s="73">
        <v>13</v>
      </c>
      <c r="B40" s="10" t="s">
        <v>73</v>
      </c>
      <c r="C40" s="10" t="s">
        <v>16</v>
      </c>
      <c r="D40" s="32" t="s">
        <v>224</v>
      </c>
      <c r="E40" s="21" t="s">
        <v>122</v>
      </c>
      <c r="F40" s="10">
        <v>0</v>
      </c>
    </row>
    <row r="41" spans="1:6" x14ac:dyDescent="0.35">
      <c r="A41" s="73">
        <v>14</v>
      </c>
      <c r="B41" s="11" t="s">
        <v>76</v>
      </c>
      <c r="C41" s="11" t="s">
        <v>17</v>
      </c>
      <c r="D41" s="36" t="s">
        <v>225</v>
      </c>
      <c r="E41" s="24" t="s">
        <v>122</v>
      </c>
      <c r="F41" s="11">
        <v>0</v>
      </c>
    </row>
    <row r="42" spans="1:6" x14ac:dyDescent="0.35">
      <c r="A42" s="73">
        <v>15</v>
      </c>
      <c r="B42" s="8" t="s">
        <v>77</v>
      </c>
      <c r="C42" s="8" t="s">
        <v>19</v>
      </c>
      <c r="D42" s="37" t="s">
        <v>226</v>
      </c>
      <c r="E42" s="25" t="s">
        <v>122</v>
      </c>
      <c r="F42" s="8">
        <v>0</v>
      </c>
    </row>
    <row r="43" spans="1:6" x14ac:dyDescent="0.35">
      <c r="A43" s="73">
        <v>16</v>
      </c>
      <c r="B43" s="12" t="s">
        <v>69</v>
      </c>
      <c r="C43" s="12" t="s">
        <v>18</v>
      </c>
      <c r="D43" s="31" t="s">
        <v>227</v>
      </c>
      <c r="E43" s="20" t="s">
        <v>122</v>
      </c>
      <c r="F43" s="12">
        <v>0</v>
      </c>
    </row>
    <row r="44" spans="1:6" x14ac:dyDescent="0.35">
      <c r="A44" s="73">
        <v>17</v>
      </c>
      <c r="B44" s="7" t="s">
        <v>74</v>
      </c>
      <c r="C44" s="7" t="s">
        <v>15</v>
      </c>
      <c r="D44" s="30" t="s">
        <v>228</v>
      </c>
      <c r="E44" s="19" t="s">
        <v>122</v>
      </c>
      <c r="F44" s="7">
        <v>0</v>
      </c>
    </row>
    <row r="45" spans="1:6" x14ac:dyDescent="0.35">
      <c r="A45" s="73">
        <v>18</v>
      </c>
      <c r="B45" s="9" t="s">
        <v>75</v>
      </c>
      <c r="C45" s="9" t="s">
        <v>20</v>
      </c>
      <c r="D45" s="35" t="s">
        <v>229</v>
      </c>
      <c r="E45" s="23" t="s">
        <v>122</v>
      </c>
      <c r="F45" s="9">
        <v>0</v>
      </c>
    </row>
    <row r="46" spans="1:6" x14ac:dyDescent="0.35">
      <c r="A46" s="73">
        <v>19</v>
      </c>
      <c r="B46" s="6" t="s">
        <v>78</v>
      </c>
      <c r="C46" s="6" t="s">
        <v>14</v>
      </c>
      <c r="D46" s="33" t="s">
        <v>230</v>
      </c>
      <c r="E46" s="22" t="s">
        <v>122</v>
      </c>
      <c r="F46" s="6">
        <v>0</v>
      </c>
    </row>
    <row r="47" spans="1:6" x14ac:dyDescent="0.35">
      <c r="A47" s="73">
        <v>20</v>
      </c>
      <c r="B47" s="8" t="s">
        <v>80</v>
      </c>
      <c r="C47" s="8" t="s">
        <v>19</v>
      </c>
      <c r="D47" s="37" t="s">
        <v>231</v>
      </c>
      <c r="E47" s="25" t="s">
        <v>122</v>
      </c>
      <c r="F47" s="8">
        <v>0</v>
      </c>
    </row>
    <row r="48" spans="1:6" x14ac:dyDescent="0.35">
      <c r="A48" s="73">
        <v>21</v>
      </c>
      <c r="B48" s="11" t="s">
        <v>125</v>
      </c>
      <c r="C48" s="11" t="s">
        <v>17</v>
      </c>
      <c r="D48" s="36" t="s">
        <v>232</v>
      </c>
      <c r="E48" s="24" t="s">
        <v>122</v>
      </c>
      <c r="F48" s="11">
        <v>0</v>
      </c>
    </row>
    <row r="49" spans="1:6" x14ac:dyDescent="0.35">
      <c r="A49" s="73">
        <v>22</v>
      </c>
      <c r="B49" s="9" t="s">
        <v>79</v>
      </c>
      <c r="C49" s="9" t="s">
        <v>20</v>
      </c>
      <c r="D49" s="35" t="s">
        <v>233</v>
      </c>
      <c r="E49" s="23" t="s">
        <v>122</v>
      </c>
      <c r="F49" s="9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3" t="s">
        <v>11</v>
      </c>
      <c r="C53" s="3">
        <f t="shared" ref="C53:C63" si="0">SUMIF($C$28:$C$49,B53,$F$28:$F$49)</f>
        <v>37</v>
      </c>
    </row>
    <row r="54" spans="1:6" x14ac:dyDescent="0.35">
      <c r="A54" s="73">
        <v>2</v>
      </c>
      <c r="B54" s="5" t="s">
        <v>13</v>
      </c>
      <c r="C54" s="5">
        <f t="shared" si="0"/>
        <v>33</v>
      </c>
    </row>
    <row r="55" spans="1:6" x14ac:dyDescent="0.35">
      <c r="A55" s="73">
        <v>3</v>
      </c>
      <c r="B55" s="12" t="s">
        <v>18</v>
      </c>
      <c r="C55" s="12">
        <f t="shared" si="0"/>
        <v>10</v>
      </c>
    </row>
    <row r="56" spans="1:6" x14ac:dyDescent="0.35">
      <c r="A56" s="73">
        <v>4</v>
      </c>
      <c r="B56" s="2" t="s">
        <v>21</v>
      </c>
      <c r="C56" s="2">
        <f t="shared" si="0"/>
        <v>8</v>
      </c>
    </row>
    <row r="57" spans="1:6" x14ac:dyDescent="0.35">
      <c r="A57" s="73">
        <v>5</v>
      </c>
      <c r="B57" s="7" t="s">
        <v>15</v>
      </c>
      <c r="C57" s="7">
        <f t="shared" si="0"/>
        <v>6</v>
      </c>
    </row>
    <row r="58" spans="1:6" x14ac:dyDescent="0.35">
      <c r="A58" s="73">
        <v>6</v>
      </c>
      <c r="B58" s="4" t="s">
        <v>12</v>
      </c>
      <c r="C58" s="4">
        <f t="shared" si="0"/>
        <v>6</v>
      </c>
    </row>
    <row r="59" spans="1:6" x14ac:dyDescent="0.35">
      <c r="A59" s="73">
        <v>7</v>
      </c>
      <c r="B59" s="6" t="s">
        <v>14</v>
      </c>
      <c r="C59" s="6">
        <f t="shared" si="0"/>
        <v>2</v>
      </c>
    </row>
    <row r="60" spans="1:6" x14ac:dyDescent="0.35">
      <c r="A60" s="73">
        <v>8</v>
      </c>
      <c r="B60" s="10" t="s">
        <v>16</v>
      </c>
      <c r="C60" s="10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377F-7BBC-437B-9604-374B6D501500}">
  <dimension ref="A1:F63"/>
  <sheetViews>
    <sheetView topLeftCell="A31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2" t="s">
        <v>63</v>
      </c>
      <c r="C3" s="2" t="s">
        <v>21</v>
      </c>
      <c r="D3" s="40"/>
    </row>
    <row r="4" spans="1:4" x14ac:dyDescent="0.35">
      <c r="A4" s="73">
        <v>2</v>
      </c>
      <c r="B4" s="3" t="s">
        <v>61</v>
      </c>
      <c r="C4" s="3" t="s">
        <v>11</v>
      </c>
      <c r="D4" s="40"/>
    </row>
    <row r="5" spans="1:4" x14ac:dyDescent="0.35">
      <c r="A5" s="73">
        <v>3</v>
      </c>
      <c r="B5" s="3" t="s">
        <v>65</v>
      </c>
      <c r="C5" s="3" t="s">
        <v>11</v>
      </c>
      <c r="D5" s="41"/>
    </row>
    <row r="6" spans="1:4" x14ac:dyDescent="0.35">
      <c r="A6" s="73">
        <v>4</v>
      </c>
      <c r="B6" s="5" t="s">
        <v>62</v>
      </c>
      <c r="C6" s="5" t="s">
        <v>13</v>
      </c>
      <c r="D6" s="41"/>
    </row>
    <row r="7" spans="1:4" x14ac:dyDescent="0.35">
      <c r="A7" s="73">
        <v>5</v>
      </c>
      <c r="B7" s="2" t="s">
        <v>81</v>
      </c>
      <c r="C7" s="2" t="s">
        <v>21</v>
      </c>
      <c r="D7" s="40"/>
    </row>
    <row r="8" spans="1:4" x14ac:dyDescent="0.35">
      <c r="A8" s="73">
        <v>6</v>
      </c>
      <c r="B8" s="5" t="s">
        <v>68</v>
      </c>
      <c r="C8" s="5" t="s">
        <v>13</v>
      </c>
      <c r="D8" s="40"/>
    </row>
    <row r="9" spans="1:4" x14ac:dyDescent="0.35">
      <c r="A9" s="73">
        <v>7</v>
      </c>
      <c r="B9" s="44" t="s">
        <v>71</v>
      </c>
      <c r="C9" s="44" t="s">
        <v>12</v>
      </c>
    </row>
    <row r="10" spans="1:4" x14ac:dyDescent="0.35">
      <c r="A10" s="73">
        <v>8</v>
      </c>
      <c r="B10" s="10" t="s">
        <v>73</v>
      </c>
      <c r="C10" s="10" t="s">
        <v>16</v>
      </c>
      <c r="D10" s="40"/>
    </row>
    <row r="11" spans="1:4" x14ac:dyDescent="0.35">
      <c r="A11" s="73">
        <v>9</v>
      </c>
      <c r="B11" s="4" t="s">
        <v>64</v>
      </c>
      <c r="C11" s="4" t="s">
        <v>12</v>
      </c>
      <c r="D11" s="41"/>
    </row>
    <row r="12" spans="1:4" x14ac:dyDescent="0.35">
      <c r="A12" s="73">
        <v>10</v>
      </c>
      <c r="B12" s="6" t="s">
        <v>72</v>
      </c>
      <c r="C12" s="6" t="s">
        <v>14</v>
      </c>
      <c r="D12" s="41"/>
    </row>
    <row r="13" spans="1:4" x14ac:dyDescent="0.35">
      <c r="A13" s="73">
        <v>11</v>
      </c>
      <c r="B13" s="12" t="s">
        <v>67</v>
      </c>
      <c r="C13" s="12" t="s">
        <v>18</v>
      </c>
      <c r="D13" s="41"/>
    </row>
    <row r="14" spans="1:4" x14ac:dyDescent="0.35">
      <c r="A14" s="73">
        <v>12</v>
      </c>
      <c r="B14" s="7" t="s">
        <v>66</v>
      </c>
      <c r="C14" s="7" t="s">
        <v>15</v>
      </c>
      <c r="D14" s="41"/>
    </row>
    <row r="15" spans="1:4" x14ac:dyDescent="0.35">
      <c r="A15" s="73">
        <v>13</v>
      </c>
      <c r="B15" s="10" t="s">
        <v>70</v>
      </c>
      <c r="C15" s="10" t="s">
        <v>16</v>
      </c>
      <c r="D15" s="41"/>
    </row>
    <row r="16" spans="1:4" x14ac:dyDescent="0.35">
      <c r="A16" s="73">
        <v>14</v>
      </c>
      <c r="B16" s="6" t="s">
        <v>78</v>
      </c>
      <c r="C16" s="6" t="s">
        <v>14</v>
      </c>
      <c r="D16" s="40"/>
    </row>
    <row r="17" spans="1:6" x14ac:dyDescent="0.35">
      <c r="A17" s="73">
        <v>15</v>
      </c>
      <c r="B17" s="11" t="s">
        <v>125</v>
      </c>
      <c r="C17" s="11" t="s">
        <v>17</v>
      </c>
      <c r="D17" s="41"/>
    </row>
    <row r="18" spans="1:6" x14ac:dyDescent="0.35">
      <c r="A18" s="73">
        <v>16</v>
      </c>
      <c r="B18" s="7" t="s">
        <v>74</v>
      </c>
      <c r="C18" s="7" t="s">
        <v>15</v>
      </c>
      <c r="D18" s="40"/>
    </row>
    <row r="19" spans="1:6" x14ac:dyDescent="0.35">
      <c r="A19" s="73">
        <v>17</v>
      </c>
      <c r="B19" s="9" t="s">
        <v>79</v>
      </c>
      <c r="C19" s="9" t="s">
        <v>20</v>
      </c>
    </row>
    <row r="20" spans="1:6" x14ac:dyDescent="0.35">
      <c r="A20" s="73">
        <v>18</v>
      </c>
      <c r="B20" s="8" t="s">
        <v>80</v>
      </c>
      <c r="C20" s="8" t="s">
        <v>19</v>
      </c>
      <c r="D20" s="41"/>
    </row>
    <row r="21" spans="1:6" x14ac:dyDescent="0.35">
      <c r="A21" s="73">
        <v>19</v>
      </c>
      <c r="B21" s="11" t="s">
        <v>76</v>
      </c>
      <c r="C21" s="11" t="s">
        <v>17</v>
      </c>
      <c r="D21" s="41"/>
    </row>
    <row r="22" spans="1:6" x14ac:dyDescent="0.35">
      <c r="A22" s="73">
        <v>20</v>
      </c>
      <c r="B22" s="9" t="s">
        <v>75</v>
      </c>
      <c r="C22" s="9" t="s">
        <v>20</v>
      </c>
      <c r="D22" s="41"/>
    </row>
    <row r="23" spans="1:6" x14ac:dyDescent="0.35">
      <c r="A23" s="73">
        <v>21</v>
      </c>
      <c r="B23" s="8" t="s">
        <v>77</v>
      </c>
      <c r="C23" s="8" t="s">
        <v>19</v>
      </c>
      <c r="D23" s="40"/>
    </row>
    <row r="24" spans="1:6" x14ac:dyDescent="0.35">
      <c r="A24" s="73">
        <v>22</v>
      </c>
      <c r="B24" s="88" t="s">
        <v>69</v>
      </c>
      <c r="C24" s="88" t="s">
        <v>18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8" t="s">
        <v>251</v>
      </c>
      <c r="E28" s="17" t="s">
        <v>245</v>
      </c>
      <c r="F28" s="2">
        <v>25</v>
      </c>
    </row>
    <row r="29" spans="1:6" x14ac:dyDescent="0.35">
      <c r="A29" s="73">
        <v>2</v>
      </c>
      <c r="B29" s="3" t="s">
        <v>61</v>
      </c>
      <c r="C29" s="3" t="s">
        <v>11</v>
      </c>
      <c r="D29" s="26" t="s">
        <v>252</v>
      </c>
      <c r="E29" s="15" t="s">
        <v>246</v>
      </c>
      <c r="F29" s="3">
        <v>18</v>
      </c>
    </row>
    <row r="30" spans="1:6" x14ac:dyDescent="0.35">
      <c r="A30" s="73">
        <v>3</v>
      </c>
      <c r="B30" s="4" t="s">
        <v>64</v>
      </c>
      <c r="C30" s="4" t="s">
        <v>12</v>
      </c>
      <c r="D30" s="29" t="s">
        <v>253</v>
      </c>
      <c r="E30" s="18" t="s">
        <v>247</v>
      </c>
      <c r="F30" s="4">
        <v>15</v>
      </c>
    </row>
    <row r="31" spans="1:6" x14ac:dyDescent="0.35">
      <c r="A31" s="73">
        <v>4</v>
      </c>
      <c r="B31" s="12" t="s">
        <v>67</v>
      </c>
      <c r="C31" s="12" t="s">
        <v>18</v>
      </c>
      <c r="D31" s="31" t="s">
        <v>254</v>
      </c>
      <c r="E31" s="20" t="s">
        <v>248</v>
      </c>
      <c r="F31" s="12">
        <v>12</v>
      </c>
    </row>
    <row r="32" spans="1:6" x14ac:dyDescent="0.35">
      <c r="A32" s="73">
        <v>5</v>
      </c>
      <c r="B32" s="7" t="s">
        <v>66</v>
      </c>
      <c r="C32" s="7" t="s">
        <v>15</v>
      </c>
      <c r="D32" s="30" t="s">
        <v>255</v>
      </c>
      <c r="E32" s="19" t="s">
        <v>249</v>
      </c>
      <c r="F32" s="7">
        <v>10</v>
      </c>
    </row>
    <row r="33" spans="1:6" x14ac:dyDescent="0.35">
      <c r="A33" s="73">
        <v>6</v>
      </c>
      <c r="B33" s="10" t="s">
        <v>73</v>
      </c>
      <c r="C33" s="10" t="s">
        <v>16</v>
      </c>
      <c r="D33" s="32" t="s">
        <v>256</v>
      </c>
      <c r="E33" s="21" t="s">
        <v>250</v>
      </c>
      <c r="F33" s="10">
        <v>8</v>
      </c>
    </row>
    <row r="34" spans="1:6" x14ac:dyDescent="0.35">
      <c r="A34" s="73">
        <v>7</v>
      </c>
      <c r="B34" s="2" t="s">
        <v>81</v>
      </c>
      <c r="C34" s="2" t="s">
        <v>21</v>
      </c>
      <c r="D34" s="38" t="s">
        <v>257</v>
      </c>
      <c r="E34" s="17" t="s">
        <v>124</v>
      </c>
      <c r="F34" s="2">
        <v>7</v>
      </c>
    </row>
    <row r="35" spans="1:6" x14ac:dyDescent="0.35">
      <c r="A35" s="73">
        <v>8</v>
      </c>
      <c r="B35" s="3" t="s">
        <v>65</v>
      </c>
      <c r="C35" s="3" t="s">
        <v>11</v>
      </c>
      <c r="D35" s="26" t="s">
        <v>258</v>
      </c>
      <c r="E35" s="15" t="s">
        <v>124</v>
      </c>
      <c r="F35" s="3">
        <v>4</v>
      </c>
    </row>
    <row r="36" spans="1:6" x14ac:dyDescent="0.35">
      <c r="A36" s="73">
        <v>9</v>
      </c>
      <c r="B36" s="4" t="s">
        <v>71</v>
      </c>
      <c r="C36" s="4" t="s">
        <v>12</v>
      </c>
      <c r="D36" s="29" t="s">
        <v>259</v>
      </c>
      <c r="E36" s="18" t="s">
        <v>122</v>
      </c>
      <c r="F36" s="4">
        <v>2</v>
      </c>
    </row>
    <row r="37" spans="1:6" x14ac:dyDescent="0.35">
      <c r="A37" s="73">
        <v>10</v>
      </c>
      <c r="B37" s="5" t="s">
        <v>68</v>
      </c>
      <c r="C37" s="5" t="s">
        <v>13</v>
      </c>
      <c r="D37" s="27" t="s">
        <v>260</v>
      </c>
      <c r="E37" s="16" t="s">
        <v>122</v>
      </c>
      <c r="F37" s="5">
        <v>1</v>
      </c>
    </row>
    <row r="38" spans="1:6" x14ac:dyDescent="0.35">
      <c r="A38" s="73">
        <v>11</v>
      </c>
      <c r="B38" s="12" t="s">
        <v>69</v>
      </c>
      <c r="C38" s="12" t="s">
        <v>18</v>
      </c>
      <c r="D38" s="31" t="s">
        <v>261</v>
      </c>
      <c r="E38" s="20" t="s">
        <v>122</v>
      </c>
      <c r="F38" s="12">
        <v>0</v>
      </c>
    </row>
    <row r="39" spans="1:6" x14ac:dyDescent="0.35">
      <c r="A39" s="73">
        <v>12</v>
      </c>
      <c r="B39" s="11" t="s">
        <v>76</v>
      </c>
      <c r="C39" s="11" t="s">
        <v>17</v>
      </c>
      <c r="D39" s="36" t="s">
        <v>262</v>
      </c>
      <c r="E39" s="24" t="s">
        <v>122</v>
      </c>
      <c r="F39" s="11">
        <v>0</v>
      </c>
    </row>
    <row r="40" spans="1:6" x14ac:dyDescent="0.35">
      <c r="A40" s="73">
        <v>13</v>
      </c>
      <c r="B40" s="8" t="s">
        <v>80</v>
      </c>
      <c r="C40" s="8" t="s">
        <v>19</v>
      </c>
      <c r="D40" s="37" t="s">
        <v>263</v>
      </c>
      <c r="E40" s="25" t="s">
        <v>122</v>
      </c>
      <c r="F40" s="8">
        <v>0</v>
      </c>
    </row>
    <row r="41" spans="1:6" x14ac:dyDescent="0.35">
      <c r="A41" s="73">
        <v>14</v>
      </c>
      <c r="B41" s="6" t="s">
        <v>78</v>
      </c>
      <c r="C41" s="6" t="s">
        <v>14</v>
      </c>
      <c r="D41" s="33" t="s">
        <v>264</v>
      </c>
      <c r="E41" s="22" t="s">
        <v>122</v>
      </c>
      <c r="F41" s="6">
        <v>0</v>
      </c>
    </row>
    <row r="42" spans="1:6" x14ac:dyDescent="0.35">
      <c r="A42" s="73">
        <v>15</v>
      </c>
      <c r="B42" s="8" t="s">
        <v>77</v>
      </c>
      <c r="C42" s="8" t="s">
        <v>19</v>
      </c>
      <c r="D42" s="37" t="s">
        <v>265</v>
      </c>
      <c r="E42" s="25" t="s">
        <v>122</v>
      </c>
      <c r="F42" s="8">
        <v>0</v>
      </c>
    </row>
    <row r="43" spans="1:6" x14ac:dyDescent="0.35">
      <c r="A43" s="73">
        <v>16</v>
      </c>
      <c r="B43" s="9" t="s">
        <v>75</v>
      </c>
      <c r="C43" s="9" t="s">
        <v>20</v>
      </c>
      <c r="D43" s="35" t="s">
        <v>266</v>
      </c>
      <c r="E43" s="23" t="s">
        <v>122</v>
      </c>
      <c r="F43" s="9">
        <v>0</v>
      </c>
    </row>
    <row r="44" spans="1:6" x14ac:dyDescent="0.35">
      <c r="A44" s="73">
        <v>17</v>
      </c>
      <c r="B44" s="10" t="s">
        <v>70</v>
      </c>
      <c r="C44" s="10" t="s">
        <v>16</v>
      </c>
      <c r="D44" s="32" t="s">
        <v>267</v>
      </c>
      <c r="E44" s="21" t="s">
        <v>122</v>
      </c>
      <c r="F44" s="10">
        <v>0</v>
      </c>
    </row>
    <row r="45" spans="1:6" x14ac:dyDescent="0.35">
      <c r="A45" s="73">
        <v>18</v>
      </c>
      <c r="B45" s="7" t="s">
        <v>74</v>
      </c>
      <c r="C45" s="7" t="s">
        <v>15</v>
      </c>
      <c r="D45" s="30" t="s">
        <v>268</v>
      </c>
      <c r="E45" s="19" t="s">
        <v>122</v>
      </c>
      <c r="F45" s="7">
        <v>0</v>
      </c>
    </row>
    <row r="46" spans="1:6" x14ac:dyDescent="0.35">
      <c r="A46" s="73">
        <v>19</v>
      </c>
      <c r="B46" s="11" t="s">
        <v>125</v>
      </c>
      <c r="C46" s="11" t="s">
        <v>17</v>
      </c>
      <c r="D46" s="36" t="s">
        <v>269</v>
      </c>
      <c r="E46" s="24" t="s">
        <v>122</v>
      </c>
      <c r="F46" s="11">
        <v>0</v>
      </c>
    </row>
    <row r="47" spans="1:6" x14ac:dyDescent="0.35">
      <c r="A47" s="73">
        <v>20</v>
      </c>
      <c r="B47" s="9" t="s">
        <v>79</v>
      </c>
      <c r="C47" s="9" t="s">
        <v>20</v>
      </c>
      <c r="D47" s="35" t="s">
        <v>270</v>
      </c>
      <c r="E47" s="23" t="s">
        <v>123</v>
      </c>
      <c r="F47" s="9">
        <v>0</v>
      </c>
    </row>
    <row r="48" spans="1:6" x14ac:dyDescent="0.35">
      <c r="A48" s="73">
        <v>21</v>
      </c>
      <c r="B48" s="5" t="s">
        <v>62</v>
      </c>
      <c r="C48" s="5" t="s">
        <v>13</v>
      </c>
      <c r="D48" s="27" t="s">
        <v>271</v>
      </c>
      <c r="E48" s="16" t="s">
        <v>124</v>
      </c>
      <c r="F48" s="5" t="s">
        <v>82</v>
      </c>
    </row>
    <row r="49" spans="1:6" x14ac:dyDescent="0.35">
      <c r="A49" s="73">
        <v>22</v>
      </c>
      <c r="B49" s="6" t="s">
        <v>72</v>
      </c>
      <c r="C49" s="6" t="s">
        <v>14</v>
      </c>
      <c r="D49" s="33" t="s">
        <v>272</v>
      </c>
      <c r="E49" s="22" t="s">
        <v>124</v>
      </c>
      <c r="F49" s="6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 t="shared" ref="C53:C63" si="0">SUMIF($C$28:$C$49,B53,$F$28:$F$49)</f>
        <v>32</v>
      </c>
    </row>
    <row r="54" spans="1:6" x14ac:dyDescent="0.35">
      <c r="A54" s="73">
        <v>2</v>
      </c>
      <c r="B54" s="3" t="s">
        <v>11</v>
      </c>
      <c r="C54" s="3">
        <f t="shared" si="0"/>
        <v>22</v>
      </c>
    </row>
    <row r="55" spans="1:6" x14ac:dyDescent="0.35">
      <c r="A55" s="73">
        <v>3</v>
      </c>
      <c r="B55" s="4" t="s">
        <v>12</v>
      </c>
      <c r="C55" s="4">
        <f t="shared" si="0"/>
        <v>17</v>
      </c>
    </row>
    <row r="56" spans="1:6" x14ac:dyDescent="0.35">
      <c r="A56" s="73">
        <v>4</v>
      </c>
      <c r="B56" s="12" t="s">
        <v>18</v>
      </c>
      <c r="C56" s="12">
        <f t="shared" si="0"/>
        <v>12</v>
      </c>
    </row>
    <row r="57" spans="1:6" x14ac:dyDescent="0.35">
      <c r="A57" s="73">
        <v>5</v>
      </c>
      <c r="B57" s="7" t="s">
        <v>15</v>
      </c>
      <c r="C57" s="7">
        <f t="shared" si="0"/>
        <v>10</v>
      </c>
    </row>
    <row r="58" spans="1:6" x14ac:dyDescent="0.35">
      <c r="A58" s="73">
        <v>6</v>
      </c>
      <c r="B58" s="10" t="s">
        <v>16</v>
      </c>
      <c r="C58" s="10">
        <f t="shared" si="0"/>
        <v>8</v>
      </c>
    </row>
    <row r="59" spans="1:6" x14ac:dyDescent="0.35">
      <c r="A59" s="73">
        <v>7</v>
      </c>
      <c r="B59" s="5" t="s">
        <v>13</v>
      </c>
      <c r="C59" s="5">
        <f t="shared" si="0"/>
        <v>1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C77C-2DAC-4C10-9ACE-E35B510013F1}">
  <dimension ref="A1:F63"/>
  <sheetViews>
    <sheetView topLeftCell="A25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2" t="s">
        <v>63</v>
      </c>
      <c r="C3" s="2" t="s">
        <v>21</v>
      </c>
      <c r="D3" s="40"/>
    </row>
    <row r="4" spans="1:4" x14ac:dyDescent="0.35">
      <c r="A4" s="73">
        <v>2</v>
      </c>
      <c r="B4" s="3" t="s">
        <v>61</v>
      </c>
      <c r="C4" s="3" t="s">
        <v>11</v>
      </c>
      <c r="D4" s="40"/>
    </row>
    <row r="5" spans="1:4" x14ac:dyDescent="0.35">
      <c r="A5" s="73">
        <v>3</v>
      </c>
      <c r="B5" s="5" t="s">
        <v>68</v>
      </c>
      <c r="C5" s="5" t="s">
        <v>13</v>
      </c>
      <c r="D5" s="41"/>
    </row>
    <row r="6" spans="1:4" x14ac:dyDescent="0.35">
      <c r="A6" s="73">
        <v>4</v>
      </c>
      <c r="B6" s="3" t="s">
        <v>65</v>
      </c>
      <c r="C6" s="3" t="s">
        <v>11</v>
      </c>
      <c r="D6" s="41"/>
    </row>
    <row r="7" spans="1:4" x14ac:dyDescent="0.35">
      <c r="A7" s="73">
        <v>5</v>
      </c>
      <c r="B7" s="5" t="s">
        <v>62</v>
      </c>
      <c r="C7" s="5" t="s">
        <v>13</v>
      </c>
      <c r="D7" s="40"/>
    </row>
    <row r="8" spans="1:4" x14ac:dyDescent="0.35">
      <c r="A8" s="73">
        <v>6</v>
      </c>
      <c r="B8" s="4" t="s">
        <v>64</v>
      </c>
      <c r="C8" s="4" t="s">
        <v>12</v>
      </c>
      <c r="D8" s="40"/>
    </row>
    <row r="9" spans="1:4" x14ac:dyDescent="0.35">
      <c r="A9" s="73">
        <v>7</v>
      </c>
      <c r="B9" s="2" t="s">
        <v>81</v>
      </c>
      <c r="C9" s="2" t="s">
        <v>21</v>
      </c>
    </row>
    <row r="10" spans="1:4" x14ac:dyDescent="0.35">
      <c r="A10" s="73">
        <v>8</v>
      </c>
      <c r="B10" s="12" t="s">
        <v>67</v>
      </c>
      <c r="C10" s="12" t="s">
        <v>18</v>
      </c>
      <c r="D10" s="40"/>
    </row>
    <row r="11" spans="1:4" x14ac:dyDescent="0.35">
      <c r="A11" s="73">
        <v>9</v>
      </c>
      <c r="B11" s="10" t="s">
        <v>70</v>
      </c>
      <c r="C11" s="10" t="s">
        <v>16</v>
      </c>
      <c r="D11" s="41"/>
    </row>
    <row r="12" spans="1:4" x14ac:dyDescent="0.35">
      <c r="A12" s="73">
        <v>10</v>
      </c>
      <c r="B12" s="4" t="s">
        <v>71</v>
      </c>
      <c r="C12" s="4" t="s">
        <v>12</v>
      </c>
      <c r="D12" s="41"/>
    </row>
    <row r="13" spans="1:4" x14ac:dyDescent="0.35">
      <c r="A13" s="73">
        <v>11</v>
      </c>
      <c r="B13" s="10" t="s">
        <v>73</v>
      </c>
      <c r="C13" s="10" t="s">
        <v>16</v>
      </c>
      <c r="D13" s="41"/>
    </row>
    <row r="14" spans="1:4" x14ac:dyDescent="0.35">
      <c r="A14" s="73">
        <v>12</v>
      </c>
      <c r="B14" s="7" t="s">
        <v>66</v>
      </c>
      <c r="C14" s="7" t="s">
        <v>15</v>
      </c>
      <c r="D14" s="41"/>
    </row>
    <row r="15" spans="1:4" x14ac:dyDescent="0.35">
      <c r="A15" s="73">
        <v>13</v>
      </c>
      <c r="B15" s="12" t="s">
        <v>69</v>
      </c>
      <c r="C15" s="12" t="s">
        <v>18</v>
      </c>
      <c r="D15" s="41"/>
    </row>
    <row r="16" spans="1:4" x14ac:dyDescent="0.35">
      <c r="A16" s="73">
        <v>14</v>
      </c>
      <c r="B16" s="6" t="s">
        <v>72</v>
      </c>
      <c r="C16" s="6" t="s">
        <v>14</v>
      </c>
      <c r="D16" s="40"/>
    </row>
    <row r="17" spans="1:6" x14ac:dyDescent="0.35">
      <c r="A17" s="73">
        <v>15</v>
      </c>
      <c r="B17" s="8" t="s">
        <v>77</v>
      </c>
      <c r="C17" s="8" t="s">
        <v>19</v>
      </c>
      <c r="D17" s="41"/>
    </row>
    <row r="18" spans="1:6" x14ac:dyDescent="0.35">
      <c r="A18" s="73">
        <v>16</v>
      </c>
      <c r="B18" s="7" t="s">
        <v>74</v>
      </c>
      <c r="C18" s="7" t="s">
        <v>15</v>
      </c>
      <c r="D18" s="40"/>
    </row>
    <row r="19" spans="1:6" x14ac:dyDescent="0.35">
      <c r="A19" s="73">
        <v>17</v>
      </c>
      <c r="B19" s="8" t="s">
        <v>80</v>
      </c>
      <c r="C19" s="8" t="s">
        <v>19</v>
      </c>
    </row>
    <row r="20" spans="1:6" x14ac:dyDescent="0.35">
      <c r="A20" s="73">
        <v>18</v>
      </c>
      <c r="B20" s="11" t="s">
        <v>76</v>
      </c>
      <c r="C20" s="11" t="s">
        <v>17</v>
      </c>
      <c r="D20" s="41"/>
    </row>
    <row r="21" spans="1:6" x14ac:dyDescent="0.35">
      <c r="A21" s="73">
        <v>19</v>
      </c>
      <c r="B21" s="9" t="s">
        <v>75</v>
      </c>
      <c r="C21" s="9" t="s">
        <v>20</v>
      </c>
      <c r="D21" s="41"/>
    </row>
    <row r="22" spans="1:6" x14ac:dyDescent="0.35">
      <c r="A22" s="73">
        <v>20</v>
      </c>
      <c r="B22" s="9" t="s">
        <v>79</v>
      </c>
      <c r="C22" s="9" t="s">
        <v>20</v>
      </c>
      <c r="D22" s="41"/>
    </row>
    <row r="23" spans="1:6" x14ac:dyDescent="0.35">
      <c r="A23" s="73">
        <v>21</v>
      </c>
      <c r="B23" s="6" t="s">
        <v>78</v>
      </c>
      <c r="C23" s="6" t="s">
        <v>14</v>
      </c>
      <c r="D23" s="40"/>
    </row>
    <row r="24" spans="1:6" x14ac:dyDescent="0.35">
      <c r="A24" s="73">
        <v>22</v>
      </c>
      <c r="B24" s="11" t="s">
        <v>125</v>
      </c>
      <c r="C24" s="11" t="s">
        <v>17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8" t="s">
        <v>295</v>
      </c>
      <c r="E28" s="17" t="s">
        <v>273</v>
      </c>
      <c r="F28" s="2">
        <v>8</v>
      </c>
    </row>
    <row r="29" spans="1:6" x14ac:dyDescent="0.35">
      <c r="A29" s="73">
        <v>2</v>
      </c>
      <c r="B29" s="3" t="s">
        <v>61</v>
      </c>
      <c r="C29" s="3" t="s">
        <v>11</v>
      </c>
      <c r="D29" s="26" t="s">
        <v>296</v>
      </c>
      <c r="E29" s="15" t="s">
        <v>274</v>
      </c>
      <c r="F29" s="3">
        <v>7</v>
      </c>
    </row>
    <row r="30" spans="1:6" x14ac:dyDescent="0.35">
      <c r="A30" s="73">
        <v>3</v>
      </c>
      <c r="B30" s="5" t="s">
        <v>68</v>
      </c>
      <c r="C30" s="5" t="s">
        <v>13</v>
      </c>
      <c r="D30" s="27" t="s">
        <v>297</v>
      </c>
      <c r="E30" s="16" t="s">
        <v>275</v>
      </c>
      <c r="F30" s="5">
        <v>6</v>
      </c>
    </row>
    <row r="31" spans="1:6" x14ac:dyDescent="0.35">
      <c r="A31" s="73">
        <v>4</v>
      </c>
      <c r="B31" s="3" t="s">
        <v>65</v>
      </c>
      <c r="C31" s="3" t="s">
        <v>11</v>
      </c>
      <c r="D31" s="26" t="s">
        <v>298</v>
      </c>
      <c r="E31" s="15" t="s">
        <v>276</v>
      </c>
      <c r="F31" s="3">
        <v>5</v>
      </c>
    </row>
    <row r="32" spans="1:6" x14ac:dyDescent="0.35">
      <c r="A32" s="73">
        <v>5</v>
      </c>
      <c r="B32" s="5" t="s">
        <v>62</v>
      </c>
      <c r="C32" s="5" t="s">
        <v>13</v>
      </c>
      <c r="D32" s="27" t="s">
        <v>299</v>
      </c>
      <c r="E32" s="16" t="s">
        <v>277</v>
      </c>
      <c r="F32" s="5">
        <v>4</v>
      </c>
    </row>
    <row r="33" spans="1:6" x14ac:dyDescent="0.35">
      <c r="A33" s="73">
        <v>6</v>
      </c>
      <c r="B33" s="2" t="s">
        <v>81</v>
      </c>
      <c r="C33" s="2" t="s">
        <v>21</v>
      </c>
      <c r="D33" s="28" t="s">
        <v>300</v>
      </c>
      <c r="E33" s="17" t="s">
        <v>278</v>
      </c>
      <c r="F33" s="2">
        <v>3</v>
      </c>
    </row>
    <row r="34" spans="1:6" x14ac:dyDescent="0.35">
      <c r="A34" s="73">
        <v>7</v>
      </c>
      <c r="B34" s="4" t="s">
        <v>64</v>
      </c>
      <c r="C34" s="4" t="s">
        <v>12</v>
      </c>
      <c r="D34" s="29" t="s">
        <v>301</v>
      </c>
      <c r="E34" s="18" t="s">
        <v>279</v>
      </c>
      <c r="F34" s="4">
        <v>2</v>
      </c>
    </row>
    <row r="35" spans="1:6" x14ac:dyDescent="0.35">
      <c r="A35" s="73">
        <v>8</v>
      </c>
      <c r="B35" s="12" t="s">
        <v>67</v>
      </c>
      <c r="C35" s="12" t="s">
        <v>18</v>
      </c>
      <c r="D35" s="31" t="s">
        <v>302</v>
      </c>
      <c r="E35" s="20" t="s">
        <v>280</v>
      </c>
      <c r="F35" s="12">
        <v>1</v>
      </c>
    </row>
    <row r="36" spans="1:6" x14ac:dyDescent="0.35">
      <c r="A36" s="73">
        <v>9</v>
      </c>
      <c r="B36" s="4" t="s">
        <v>71</v>
      </c>
      <c r="C36" s="4" t="s">
        <v>12</v>
      </c>
      <c r="D36" s="29" t="s">
        <v>303</v>
      </c>
      <c r="E36" s="18" t="s">
        <v>281</v>
      </c>
      <c r="F36" s="4">
        <v>0</v>
      </c>
    </row>
    <row r="37" spans="1:6" x14ac:dyDescent="0.35">
      <c r="A37" s="73">
        <v>10</v>
      </c>
      <c r="B37" s="10" t="s">
        <v>73</v>
      </c>
      <c r="C37" s="10" t="s">
        <v>16</v>
      </c>
      <c r="D37" s="38" t="s">
        <v>304</v>
      </c>
      <c r="E37" s="21" t="s">
        <v>282</v>
      </c>
      <c r="F37" s="10">
        <v>0</v>
      </c>
    </row>
    <row r="38" spans="1:6" x14ac:dyDescent="0.35">
      <c r="A38" s="73">
        <v>11</v>
      </c>
      <c r="B38" s="10" t="s">
        <v>70</v>
      </c>
      <c r="C38" s="10" t="s">
        <v>16</v>
      </c>
      <c r="D38" s="32" t="s">
        <v>305</v>
      </c>
      <c r="E38" s="21" t="s">
        <v>283</v>
      </c>
      <c r="F38" s="10">
        <v>0</v>
      </c>
    </row>
    <row r="39" spans="1:6" x14ac:dyDescent="0.35">
      <c r="A39" s="73">
        <v>12</v>
      </c>
      <c r="B39" s="12" t="s">
        <v>69</v>
      </c>
      <c r="C39" s="12" t="s">
        <v>18</v>
      </c>
      <c r="D39" s="31" t="s">
        <v>306</v>
      </c>
      <c r="E39" s="20" t="s">
        <v>284</v>
      </c>
      <c r="F39" s="12">
        <v>0</v>
      </c>
    </row>
    <row r="40" spans="1:6" x14ac:dyDescent="0.35">
      <c r="A40" s="73">
        <v>13</v>
      </c>
      <c r="B40" s="7" t="s">
        <v>66</v>
      </c>
      <c r="C40" s="7" t="s">
        <v>15</v>
      </c>
      <c r="D40" s="30" t="s">
        <v>307</v>
      </c>
      <c r="E40" s="19" t="s">
        <v>285</v>
      </c>
      <c r="F40" s="7">
        <v>0</v>
      </c>
    </row>
    <row r="41" spans="1:6" x14ac:dyDescent="0.35">
      <c r="A41" s="73">
        <v>14</v>
      </c>
      <c r="B41" s="6" t="s">
        <v>72</v>
      </c>
      <c r="C41" s="6" t="s">
        <v>14</v>
      </c>
      <c r="D41" s="33" t="s">
        <v>308</v>
      </c>
      <c r="E41" s="22" t="s">
        <v>286</v>
      </c>
      <c r="F41" s="6">
        <v>0</v>
      </c>
    </row>
    <row r="42" spans="1:6" x14ac:dyDescent="0.35">
      <c r="A42" s="73">
        <v>15</v>
      </c>
      <c r="B42" s="11" t="s">
        <v>76</v>
      </c>
      <c r="C42" s="11" t="s">
        <v>17</v>
      </c>
      <c r="D42" s="36" t="s">
        <v>309</v>
      </c>
      <c r="E42" s="24" t="s">
        <v>287</v>
      </c>
      <c r="F42" s="11">
        <v>0</v>
      </c>
    </row>
    <row r="43" spans="1:6" x14ac:dyDescent="0.35">
      <c r="A43" s="73">
        <v>16</v>
      </c>
      <c r="B43" s="8" t="s">
        <v>77</v>
      </c>
      <c r="C43" s="8" t="s">
        <v>19</v>
      </c>
      <c r="D43" s="37" t="s">
        <v>310</v>
      </c>
      <c r="E43" s="25" t="s">
        <v>288</v>
      </c>
      <c r="F43" s="8">
        <v>0</v>
      </c>
    </row>
    <row r="44" spans="1:6" x14ac:dyDescent="0.35">
      <c r="A44" s="73">
        <v>17</v>
      </c>
      <c r="B44" s="6" t="s">
        <v>78</v>
      </c>
      <c r="C44" s="6" t="s">
        <v>14</v>
      </c>
      <c r="D44" s="33" t="s">
        <v>311</v>
      </c>
      <c r="E44" s="22" t="s">
        <v>289</v>
      </c>
      <c r="F44" s="6">
        <v>0</v>
      </c>
    </row>
    <row r="45" spans="1:6" x14ac:dyDescent="0.35">
      <c r="A45" s="73">
        <v>18</v>
      </c>
      <c r="B45" s="9" t="s">
        <v>75</v>
      </c>
      <c r="C45" s="9" t="s">
        <v>20</v>
      </c>
      <c r="D45" s="35" t="s">
        <v>312</v>
      </c>
      <c r="E45" s="23" t="s">
        <v>290</v>
      </c>
      <c r="F45" s="9">
        <v>0</v>
      </c>
    </row>
    <row r="46" spans="1:6" x14ac:dyDescent="0.35">
      <c r="A46" s="73">
        <v>19</v>
      </c>
      <c r="B46" s="7" t="s">
        <v>74</v>
      </c>
      <c r="C46" s="7" t="s">
        <v>15</v>
      </c>
      <c r="D46" s="30" t="s">
        <v>313</v>
      </c>
      <c r="E46" s="19" t="s">
        <v>291</v>
      </c>
      <c r="F46" s="7">
        <v>0</v>
      </c>
    </row>
    <row r="47" spans="1:6" x14ac:dyDescent="0.35">
      <c r="A47" s="73">
        <v>20</v>
      </c>
      <c r="B47" s="9" t="s">
        <v>79</v>
      </c>
      <c r="C47" s="9" t="s">
        <v>20</v>
      </c>
      <c r="D47" s="35" t="s">
        <v>314</v>
      </c>
      <c r="E47" s="23" t="s">
        <v>292</v>
      </c>
      <c r="F47" s="9">
        <v>0</v>
      </c>
    </row>
    <row r="48" spans="1:6" x14ac:dyDescent="0.35">
      <c r="A48" s="73">
        <v>21</v>
      </c>
      <c r="B48" s="11" t="s">
        <v>125</v>
      </c>
      <c r="C48" s="11" t="s">
        <v>17</v>
      </c>
      <c r="D48" s="36" t="s">
        <v>315</v>
      </c>
      <c r="E48" s="24" t="s">
        <v>293</v>
      </c>
      <c r="F48" s="11">
        <v>0</v>
      </c>
    </row>
    <row r="49" spans="1:6" x14ac:dyDescent="0.35">
      <c r="A49" s="73">
        <v>22</v>
      </c>
      <c r="B49" s="8" t="s">
        <v>80</v>
      </c>
      <c r="C49" s="8" t="s">
        <v>19</v>
      </c>
      <c r="D49" s="37" t="s">
        <v>316</v>
      </c>
      <c r="E49" s="25" t="s">
        <v>294</v>
      </c>
      <c r="F49" s="8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3" t="s">
        <v>11</v>
      </c>
      <c r="C53" s="3">
        <f t="shared" ref="C53:C63" si="0">SUMIF($C$28:$C$49,B53,$F$28:$F$49)</f>
        <v>12</v>
      </c>
    </row>
    <row r="54" spans="1:6" x14ac:dyDescent="0.35">
      <c r="A54" s="73">
        <v>2</v>
      </c>
      <c r="B54" s="2" t="s">
        <v>21</v>
      </c>
      <c r="C54" s="2">
        <f t="shared" si="0"/>
        <v>11</v>
      </c>
    </row>
    <row r="55" spans="1:6" x14ac:dyDescent="0.35">
      <c r="A55" s="73">
        <v>3</v>
      </c>
      <c r="B55" s="5" t="s">
        <v>13</v>
      </c>
      <c r="C55" s="5">
        <f t="shared" si="0"/>
        <v>10</v>
      </c>
    </row>
    <row r="56" spans="1:6" x14ac:dyDescent="0.35">
      <c r="A56" s="73">
        <v>4</v>
      </c>
      <c r="B56" s="4" t="s">
        <v>12</v>
      </c>
      <c r="C56" s="4">
        <f t="shared" si="0"/>
        <v>2</v>
      </c>
    </row>
    <row r="57" spans="1:6" x14ac:dyDescent="0.35">
      <c r="A57" s="73">
        <v>5</v>
      </c>
      <c r="B57" s="12" t="s">
        <v>18</v>
      </c>
      <c r="C57" s="12">
        <f t="shared" si="0"/>
        <v>1</v>
      </c>
    </row>
    <row r="58" spans="1:6" x14ac:dyDescent="0.35">
      <c r="A58" s="73">
        <v>6</v>
      </c>
      <c r="B58" s="7" t="s">
        <v>15</v>
      </c>
      <c r="C58" s="7">
        <f t="shared" si="0"/>
        <v>0</v>
      </c>
    </row>
    <row r="59" spans="1:6" x14ac:dyDescent="0.35">
      <c r="A59" s="73">
        <v>7</v>
      </c>
      <c r="B59" s="10" t="s">
        <v>16</v>
      </c>
      <c r="C59" s="10">
        <f t="shared" si="0"/>
        <v>0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ADF5-F2D3-42EE-9F27-828F126CB353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2" t="s">
        <v>63</v>
      </c>
      <c r="C3" s="2" t="s">
        <v>21</v>
      </c>
      <c r="D3" s="40"/>
    </row>
    <row r="4" spans="1:4" x14ac:dyDescent="0.35">
      <c r="A4" s="73">
        <v>2</v>
      </c>
      <c r="B4" s="3" t="s">
        <v>61</v>
      </c>
      <c r="C4" s="3" t="s">
        <v>11</v>
      </c>
      <c r="D4" s="40"/>
    </row>
    <row r="5" spans="1:4" x14ac:dyDescent="0.35">
      <c r="A5" s="73">
        <v>3</v>
      </c>
      <c r="B5" s="3" t="s">
        <v>65</v>
      </c>
      <c r="C5" s="3" t="s">
        <v>11</v>
      </c>
      <c r="D5" s="41"/>
    </row>
    <row r="6" spans="1:4" x14ac:dyDescent="0.35">
      <c r="A6" s="73">
        <v>4</v>
      </c>
      <c r="B6" s="2" t="s">
        <v>81</v>
      </c>
      <c r="C6" s="2" t="s">
        <v>21</v>
      </c>
      <c r="D6" s="41"/>
    </row>
    <row r="7" spans="1:4" x14ac:dyDescent="0.35">
      <c r="A7" s="73">
        <v>5</v>
      </c>
      <c r="B7" s="5" t="s">
        <v>62</v>
      </c>
      <c r="C7" s="5" t="s">
        <v>13</v>
      </c>
      <c r="D7" s="40"/>
    </row>
    <row r="8" spans="1:4" x14ac:dyDescent="0.35">
      <c r="A8" s="73">
        <v>6</v>
      </c>
      <c r="B8" s="5" t="s">
        <v>68</v>
      </c>
      <c r="C8" s="5" t="s">
        <v>13</v>
      </c>
      <c r="D8" s="40"/>
    </row>
    <row r="9" spans="1:4" x14ac:dyDescent="0.35">
      <c r="A9" s="73">
        <v>7</v>
      </c>
      <c r="B9" s="10" t="s">
        <v>73</v>
      </c>
      <c r="C9" s="10" t="s">
        <v>16</v>
      </c>
    </row>
    <row r="10" spans="1:4" x14ac:dyDescent="0.35">
      <c r="A10" s="73">
        <v>8</v>
      </c>
      <c r="B10" s="12" t="s">
        <v>67</v>
      </c>
      <c r="C10" s="12" t="s">
        <v>18</v>
      </c>
      <c r="D10" s="40"/>
    </row>
    <row r="11" spans="1:4" x14ac:dyDescent="0.35">
      <c r="A11" s="73">
        <v>9</v>
      </c>
      <c r="B11" s="4" t="s">
        <v>64</v>
      </c>
      <c r="C11" s="4" t="s">
        <v>12</v>
      </c>
      <c r="D11" s="41"/>
    </row>
    <row r="12" spans="1:4" x14ac:dyDescent="0.35">
      <c r="A12" s="73">
        <v>10</v>
      </c>
      <c r="B12" s="4" t="s">
        <v>71</v>
      </c>
      <c r="C12" s="4" t="s">
        <v>12</v>
      </c>
      <c r="D12" s="41"/>
    </row>
    <row r="13" spans="1:4" x14ac:dyDescent="0.35">
      <c r="A13" s="73">
        <v>11</v>
      </c>
      <c r="B13" s="12" t="s">
        <v>69</v>
      </c>
      <c r="C13" s="12" t="s">
        <v>18</v>
      </c>
      <c r="D13" s="41"/>
    </row>
    <row r="14" spans="1:4" x14ac:dyDescent="0.35">
      <c r="A14" s="73">
        <v>12</v>
      </c>
      <c r="B14" s="10" t="s">
        <v>70</v>
      </c>
      <c r="C14" s="10" t="s">
        <v>16</v>
      </c>
      <c r="D14" s="41"/>
    </row>
    <row r="15" spans="1:4" x14ac:dyDescent="0.35">
      <c r="A15" s="73">
        <v>13</v>
      </c>
      <c r="B15" s="7" t="s">
        <v>66</v>
      </c>
      <c r="C15" s="7" t="s">
        <v>15</v>
      </c>
      <c r="D15" s="41"/>
    </row>
    <row r="16" spans="1:4" x14ac:dyDescent="0.35">
      <c r="A16" s="73">
        <v>14</v>
      </c>
      <c r="B16" s="9" t="s">
        <v>75</v>
      </c>
      <c r="C16" s="9" t="s">
        <v>20</v>
      </c>
      <c r="D16" s="40"/>
    </row>
    <row r="17" spans="1:6" x14ac:dyDescent="0.35">
      <c r="A17" s="73">
        <v>15</v>
      </c>
      <c r="B17" s="8" t="s">
        <v>77</v>
      </c>
      <c r="C17" s="8" t="s">
        <v>19</v>
      </c>
      <c r="D17" s="41"/>
    </row>
    <row r="18" spans="1:6" x14ac:dyDescent="0.35">
      <c r="A18" s="73">
        <v>16</v>
      </c>
      <c r="B18" s="11" t="s">
        <v>76</v>
      </c>
      <c r="C18" s="11" t="s">
        <v>17</v>
      </c>
      <c r="D18" s="40"/>
    </row>
    <row r="19" spans="1:6" x14ac:dyDescent="0.35">
      <c r="A19" s="73">
        <v>17</v>
      </c>
      <c r="B19" s="6" t="s">
        <v>72</v>
      </c>
      <c r="C19" s="6" t="s">
        <v>14</v>
      </c>
    </row>
    <row r="20" spans="1:6" x14ac:dyDescent="0.35">
      <c r="A20" s="73">
        <v>18</v>
      </c>
      <c r="B20" s="9" t="s">
        <v>79</v>
      </c>
      <c r="C20" s="9" t="s">
        <v>20</v>
      </c>
      <c r="D20" s="41"/>
    </row>
    <row r="21" spans="1:6" x14ac:dyDescent="0.35">
      <c r="A21" s="73">
        <v>19</v>
      </c>
      <c r="B21" s="8" t="s">
        <v>80</v>
      </c>
      <c r="C21" s="8" t="s">
        <v>19</v>
      </c>
      <c r="D21" s="41"/>
    </row>
    <row r="22" spans="1:6" x14ac:dyDescent="0.35">
      <c r="A22" s="73">
        <v>20</v>
      </c>
      <c r="B22" s="6" t="s">
        <v>78</v>
      </c>
      <c r="C22" s="6" t="s">
        <v>14</v>
      </c>
      <c r="D22" s="41"/>
    </row>
    <row r="23" spans="1:6" x14ac:dyDescent="0.35">
      <c r="A23" s="73">
        <v>21</v>
      </c>
      <c r="B23" s="7" t="s">
        <v>74</v>
      </c>
      <c r="C23" s="7" t="s">
        <v>15</v>
      </c>
      <c r="D23" s="40"/>
    </row>
    <row r="24" spans="1:6" x14ac:dyDescent="0.35">
      <c r="A24" s="73">
        <v>22</v>
      </c>
      <c r="B24" s="11" t="s">
        <v>125</v>
      </c>
      <c r="C24" s="11" t="s">
        <v>17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8" t="s">
        <v>329</v>
      </c>
      <c r="E28" s="17" t="s">
        <v>317</v>
      </c>
      <c r="F28" s="2">
        <v>25</v>
      </c>
    </row>
    <row r="29" spans="1:6" x14ac:dyDescent="0.35">
      <c r="A29" s="73">
        <v>2</v>
      </c>
      <c r="B29" s="3" t="s">
        <v>61</v>
      </c>
      <c r="C29" s="3" t="s">
        <v>11</v>
      </c>
      <c r="D29" s="26" t="s">
        <v>330</v>
      </c>
      <c r="E29" s="15" t="s">
        <v>318</v>
      </c>
      <c r="F29" s="3">
        <v>18</v>
      </c>
    </row>
    <row r="30" spans="1:6" x14ac:dyDescent="0.35">
      <c r="A30" s="73">
        <v>3</v>
      </c>
      <c r="B30" s="5" t="s">
        <v>68</v>
      </c>
      <c r="C30" s="5" t="s">
        <v>13</v>
      </c>
      <c r="D30" s="27" t="s">
        <v>331</v>
      </c>
      <c r="E30" s="16" t="s">
        <v>319</v>
      </c>
      <c r="F30" s="5">
        <v>15</v>
      </c>
    </row>
    <row r="31" spans="1:6" x14ac:dyDescent="0.35">
      <c r="A31" s="73">
        <v>4</v>
      </c>
      <c r="B31" s="2" t="s">
        <v>81</v>
      </c>
      <c r="C31" s="2" t="s">
        <v>21</v>
      </c>
      <c r="D31" s="28" t="s">
        <v>332</v>
      </c>
      <c r="E31" s="17" t="s">
        <v>320</v>
      </c>
      <c r="F31" s="2">
        <v>12</v>
      </c>
    </row>
    <row r="32" spans="1:6" x14ac:dyDescent="0.35">
      <c r="A32" s="73">
        <v>5</v>
      </c>
      <c r="B32" s="12" t="s">
        <v>67</v>
      </c>
      <c r="C32" s="12" t="s">
        <v>18</v>
      </c>
      <c r="D32" s="31" t="s">
        <v>333</v>
      </c>
      <c r="E32" s="20" t="s">
        <v>321</v>
      </c>
      <c r="F32" s="12">
        <v>10</v>
      </c>
    </row>
    <row r="33" spans="1:6" x14ac:dyDescent="0.35">
      <c r="A33" s="73">
        <v>6</v>
      </c>
      <c r="B33" s="5" t="s">
        <v>62</v>
      </c>
      <c r="C33" s="5" t="s">
        <v>13</v>
      </c>
      <c r="D33" s="27" t="s">
        <v>334</v>
      </c>
      <c r="E33" s="16" t="s">
        <v>322</v>
      </c>
      <c r="F33" s="5">
        <v>8</v>
      </c>
    </row>
    <row r="34" spans="1:6" x14ac:dyDescent="0.35">
      <c r="A34" s="73">
        <v>7</v>
      </c>
      <c r="B34" s="4" t="s">
        <v>64</v>
      </c>
      <c r="C34" s="4" t="s">
        <v>12</v>
      </c>
      <c r="D34" s="38" t="s">
        <v>328</v>
      </c>
      <c r="E34" s="18" t="s">
        <v>323</v>
      </c>
      <c r="F34" s="4">
        <v>7</v>
      </c>
    </row>
    <row r="35" spans="1:6" x14ac:dyDescent="0.35">
      <c r="A35" s="73">
        <v>8</v>
      </c>
      <c r="B35" s="7" t="s">
        <v>66</v>
      </c>
      <c r="C35" s="7" t="s">
        <v>15</v>
      </c>
      <c r="D35" s="30" t="s">
        <v>335</v>
      </c>
      <c r="E35" s="19" t="s">
        <v>324</v>
      </c>
      <c r="F35" s="7">
        <v>4</v>
      </c>
    </row>
    <row r="36" spans="1:6" x14ac:dyDescent="0.35">
      <c r="A36" s="73">
        <v>9</v>
      </c>
      <c r="B36" s="10" t="s">
        <v>73</v>
      </c>
      <c r="C36" s="10" t="s">
        <v>16</v>
      </c>
      <c r="D36" s="32" t="s">
        <v>336</v>
      </c>
      <c r="E36" s="21" t="s">
        <v>325</v>
      </c>
      <c r="F36" s="10">
        <v>2</v>
      </c>
    </row>
    <row r="37" spans="1:6" x14ac:dyDescent="0.35">
      <c r="A37" s="73">
        <v>10</v>
      </c>
      <c r="B37" s="4" t="s">
        <v>71</v>
      </c>
      <c r="C37" s="4" t="s">
        <v>12</v>
      </c>
      <c r="D37" s="29" t="s">
        <v>337</v>
      </c>
      <c r="E37" s="18" t="s">
        <v>326</v>
      </c>
      <c r="F37" s="4">
        <v>1</v>
      </c>
    </row>
    <row r="38" spans="1:6" x14ac:dyDescent="0.35">
      <c r="A38" s="73">
        <v>11</v>
      </c>
      <c r="B38" s="10" t="s">
        <v>70</v>
      </c>
      <c r="C38" s="10" t="s">
        <v>16</v>
      </c>
      <c r="D38" s="32" t="s">
        <v>338</v>
      </c>
      <c r="E38" s="21" t="s">
        <v>327</v>
      </c>
      <c r="F38" s="10">
        <v>0</v>
      </c>
    </row>
    <row r="39" spans="1:6" x14ac:dyDescent="0.35">
      <c r="A39" s="73">
        <v>12</v>
      </c>
      <c r="B39" s="6" t="s">
        <v>72</v>
      </c>
      <c r="C39" s="6" t="s">
        <v>14</v>
      </c>
      <c r="D39" s="33" t="s">
        <v>339</v>
      </c>
      <c r="E39" s="22" t="s">
        <v>122</v>
      </c>
      <c r="F39" s="6">
        <v>0</v>
      </c>
    </row>
    <row r="40" spans="1:6" x14ac:dyDescent="0.35">
      <c r="A40" s="73">
        <v>13</v>
      </c>
      <c r="B40" s="12" t="s">
        <v>69</v>
      </c>
      <c r="C40" s="12" t="s">
        <v>18</v>
      </c>
      <c r="D40" s="31" t="s">
        <v>340</v>
      </c>
      <c r="E40" s="20" t="s">
        <v>122</v>
      </c>
      <c r="F40" s="12">
        <v>0</v>
      </c>
    </row>
    <row r="41" spans="1:6" x14ac:dyDescent="0.35">
      <c r="A41" s="73">
        <v>14</v>
      </c>
      <c r="B41" s="7" t="s">
        <v>74</v>
      </c>
      <c r="C41" s="7" t="s">
        <v>15</v>
      </c>
      <c r="D41" s="30" t="s">
        <v>341</v>
      </c>
      <c r="E41" s="19" t="s">
        <v>122</v>
      </c>
      <c r="F41" s="7">
        <v>0</v>
      </c>
    </row>
    <row r="42" spans="1:6" x14ac:dyDescent="0.35">
      <c r="A42" s="73">
        <v>15</v>
      </c>
      <c r="B42" s="11" t="s">
        <v>76</v>
      </c>
      <c r="C42" s="11" t="s">
        <v>17</v>
      </c>
      <c r="D42" s="36" t="s">
        <v>306</v>
      </c>
      <c r="E42" s="24" t="s">
        <v>122</v>
      </c>
      <c r="F42" s="11">
        <v>0</v>
      </c>
    </row>
    <row r="43" spans="1:6" x14ac:dyDescent="0.35">
      <c r="A43" s="73">
        <v>16</v>
      </c>
      <c r="B43" s="8" t="s">
        <v>80</v>
      </c>
      <c r="C43" s="8" t="s">
        <v>19</v>
      </c>
      <c r="D43" s="37" t="s">
        <v>342</v>
      </c>
      <c r="E43" s="25" t="s">
        <v>122</v>
      </c>
      <c r="F43" s="8">
        <v>0</v>
      </c>
    </row>
    <row r="44" spans="1:6" x14ac:dyDescent="0.35">
      <c r="A44" s="73">
        <v>17</v>
      </c>
      <c r="B44" s="8" t="s">
        <v>77</v>
      </c>
      <c r="C44" s="8" t="s">
        <v>19</v>
      </c>
      <c r="D44" s="37" t="s">
        <v>343</v>
      </c>
      <c r="E44" s="25" t="s">
        <v>122</v>
      </c>
      <c r="F44" s="8">
        <v>0</v>
      </c>
    </row>
    <row r="45" spans="1:6" x14ac:dyDescent="0.35">
      <c r="A45" s="73">
        <v>18</v>
      </c>
      <c r="B45" s="6" t="s">
        <v>78</v>
      </c>
      <c r="C45" s="6" t="s">
        <v>14</v>
      </c>
      <c r="D45" s="33" t="s">
        <v>344</v>
      </c>
      <c r="E45" s="22" t="s">
        <v>122</v>
      </c>
      <c r="F45" s="6">
        <v>0</v>
      </c>
    </row>
    <row r="46" spans="1:6" x14ac:dyDescent="0.35">
      <c r="A46" s="73">
        <v>19</v>
      </c>
      <c r="B46" s="11" t="s">
        <v>125</v>
      </c>
      <c r="C46" s="11" t="s">
        <v>17</v>
      </c>
      <c r="D46" s="36" t="s">
        <v>345</v>
      </c>
      <c r="E46" s="24" t="s">
        <v>122</v>
      </c>
      <c r="F46" s="11">
        <v>0</v>
      </c>
    </row>
    <row r="47" spans="1:6" x14ac:dyDescent="0.35">
      <c r="A47" s="73">
        <v>20</v>
      </c>
      <c r="B47" s="9" t="s">
        <v>79</v>
      </c>
      <c r="C47" s="9" t="s">
        <v>20</v>
      </c>
      <c r="D47" s="35" t="s">
        <v>346</v>
      </c>
      <c r="E47" s="23" t="s">
        <v>122</v>
      </c>
      <c r="F47" s="9">
        <v>0</v>
      </c>
    </row>
    <row r="48" spans="1:6" x14ac:dyDescent="0.35">
      <c r="A48" s="73">
        <v>21</v>
      </c>
      <c r="B48" s="9" t="s">
        <v>75</v>
      </c>
      <c r="C48" s="9" t="s">
        <v>20</v>
      </c>
      <c r="D48" s="35" t="s">
        <v>347</v>
      </c>
      <c r="E48" s="23" t="s">
        <v>124</v>
      </c>
      <c r="F48" s="9" t="s">
        <v>82</v>
      </c>
    </row>
    <row r="49" spans="1:6" x14ac:dyDescent="0.35">
      <c r="A49" s="73">
        <v>22</v>
      </c>
      <c r="B49" s="3" t="s">
        <v>65</v>
      </c>
      <c r="C49" s="3" t="s">
        <v>11</v>
      </c>
      <c r="D49" s="26" t="s">
        <v>348</v>
      </c>
      <c r="E49" s="15" t="s">
        <v>124</v>
      </c>
      <c r="F49" s="3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 t="shared" ref="C53:C63" si="0">SUMIF($C$28:$C$49,B53,$F$28:$F$49)</f>
        <v>37</v>
      </c>
    </row>
    <row r="54" spans="1:6" x14ac:dyDescent="0.35">
      <c r="A54" s="73">
        <v>2</v>
      </c>
      <c r="B54" s="5" t="s">
        <v>13</v>
      </c>
      <c r="C54" s="5">
        <f t="shared" si="0"/>
        <v>23</v>
      </c>
    </row>
    <row r="55" spans="1:6" x14ac:dyDescent="0.35">
      <c r="A55" s="73">
        <v>3</v>
      </c>
      <c r="B55" s="3" t="s">
        <v>11</v>
      </c>
      <c r="C55" s="3">
        <f t="shared" si="0"/>
        <v>18</v>
      </c>
    </row>
    <row r="56" spans="1:6" x14ac:dyDescent="0.35">
      <c r="A56" s="73">
        <v>4</v>
      </c>
      <c r="B56" s="12" t="s">
        <v>18</v>
      </c>
      <c r="C56" s="12">
        <f t="shared" si="0"/>
        <v>10</v>
      </c>
    </row>
    <row r="57" spans="1:6" x14ac:dyDescent="0.35">
      <c r="A57" s="73">
        <v>5</v>
      </c>
      <c r="B57" s="4" t="s">
        <v>12</v>
      </c>
      <c r="C57" s="4">
        <f t="shared" si="0"/>
        <v>8</v>
      </c>
    </row>
    <row r="58" spans="1:6" x14ac:dyDescent="0.35">
      <c r="A58" s="73">
        <v>6</v>
      </c>
      <c r="B58" s="7" t="s">
        <v>15</v>
      </c>
      <c r="C58" s="7">
        <f t="shared" si="0"/>
        <v>4</v>
      </c>
    </row>
    <row r="59" spans="1:6" x14ac:dyDescent="0.35">
      <c r="A59" s="73">
        <v>7</v>
      </c>
      <c r="B59" s="10" t="s">
        <v>16</v>
      </c>
      <c r="C59" s="10">
        <f t="shared" si="0"/>
        <v>2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56E9-A303-47C1-9789-1B7036687726}">
  <dimension ref="A1:F63"/>
  <sheetViews>
    <sheetView topLeftCell="A34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3" t="s">
        <v>61</v>
      </c>
      <c r="C3" s="3" t="s">
        <v>11</v>
      </c>
      <c r="D3" s="40"/>
    </row>
    <row r="4" spans="1:4" x14ac:dyDescent="0.35">
      <c r="A4" s="73">
        <v>2</v>
      </c>
      <c r="B4" s="5" t="s">
        <v>62</v>
      </c>
      <c r="C4" s="5" t="s">
        <v>13</v>
      </c>
      <c r="D4" s="40"/>
    </row>
    <row r="5" spans="1:4" x14ac:dyDescent="0.35">
      <c r="A5" s="73">
        <v>3</v>
      </c>
      <c r="B5" s="3" t="s">
        <v>65</v>
      </c>
      <c r="C5" s="3" t="s">
        <v>11</v>
      </c>
      <c r="D5" s="41"/>
    </row>
    <row r="6" spans="1:4" x14ac:dyDescent="0.35">
      <c r="A6" s="73">
        <v>4</v>
      </c>
      <c r="B6" s="2" t="s">
        <v>63</v>
      </c>
      <c r="C6" s="2" t="s">
        <v>21</v>
      </c>
      <c r="D6" s="41"/>
    </row>
    <row r="7" spans="1:4" x14ac:dyDescent="0.35">
      <c r="A7" s="73">
        <v>5</v>
      </c>
      <c r="B7" s="12" t="s">
        <v>67</v>
      </c>
      <c r="C7" s="12" t="s">
        <v>18</v>
      </c>
      <c r="D7" s="40"/>
    </row>
    <row r="8" spans="1:4" x14ac:dyDescent="0.35">
      <c r="A8" s="73">
        <v>6</v>
      </c>
      <c r="B8" s="2" t="s">
        <v>81</v>
      </c>
      <c r="C8" s="2" t="s">
        <v>21</v>
      </c>
      <c r="D8" s="40"/>
    </row>
    <row r="9" spans="1:4" x14ac:dyDescent="0.35">
      <c r="A9" s="73">
        <v>7</v>
      </c>
      <c r="B9" s="4" t="s">
        <v>64</v>
      </c>
      <c r="C9" s="4" t="s">
        <v>12</v>
      </c>
    </row>
    <row r="10" spans="1:4" x14ac:dyDescent="0.35">
      <c r="A10" s="73">
        <v>8</v>
      </c>
      <c r="B10" s="5" t="s">
        <v>68</v>
      </c>
      <c r="C10" s="5" t="s">
        <v>13</v>
      </c>
      <c r="D10" s="40"/>
    </row>
    <row r="11" spans="1:4" x14ac:dyDescent="0.35">
      <c r="A11" s="73">
        <v>9</v>
      </c>
      <c r="B11" s="4" t="s">
        <v>71</v>
      </c>
      <c r="C11" s="4" t="s">
        <v>12</v>
      </c>
      <c r="D11" s="41"/>
    </row>
    <row r="12" spans="1:4" x14ac:dyDescent="0.35">
      <c r="A12" s="73">
        <v>10</v>
      </c>
      <c r="B12" s="10" t="s">
        <v>73</v>
      </c>
      <c r="C12" s="10" t="s">
        <v>16</v>
      </c>
      <c r="D12" s="41"/>
    </row>
    <row r="13" spans="1:4" x14ac:dyDescent="0.35">
      <c r="A13" s="73">
        <v>11</v>
      </c>
      <c r="B13" s="10" t="s">
        <v>70</v>
      </c>
      <c r="C13" s="10" t="s">
        <v>16</v>
      </c>
      <c r="D13" s="41"/>
    </row>
    <row r="14" spans="1:4" x14ac:dyDescent="0.35">
      <c r="A14" s="73">
        <v>12</v>
      </c>
      <c r="B14" s="12" t="s">
        <v>69</v>
      </c>
      <c r="C14" s="12" t="s">
        <v>18</v>
      </c>
      <c r="D14" s="41"/>
    </row>
    <row r="15" spans="1:4" x14ac:dyDescent="0.35">
      <c r="A15" s="73">
        <v>13</v>
      </c>
      <c r="B15" s="7" t="s">
        <v>66</v>
      </c>
      <c r="C15" s="7" t="s">
        <v>15</v>
      </c>
      <c r="D15" s="41"/>
    </row>
    <row r="16" spans="1:4" x14ac:dyDescent="0.35">
      <c r="A16" s="73">
        <v>14</v>
      </c>
      <c r="B16" s="6" t="s">
        <v>72</v>
      </c>
      <c r="C16" s="6" t="s">
        <v>14</v>
      </c>
      <c r="D16" s="40"/>
    </row>
    <row r="17" spans="1:6" x14ac:dyDescent="0.35">
      <c r="A17" s="73">
        <v>15</v>
      </c>
      <c r="B17" s="11" t="s">
        <v>76</v>
      </c>
      <c r="C17" s="11" t="s">
        <v>17</v>
      </c>
      <c r="D17" s="41"/>
    </row>
    <row r="18" spans="1:6" x14ac:dyDescent="0.35">
      <c r="A18" s="73">
        <v>16</v>
      </c>
      <c r="B18" s="9" t="s">
        <v>75</v>
      </c>
      <c r="C18" s="9" t="s">
        <v>20</v>
      </c>
      <c r="D18" s="40"/>
    </row>
    <row r="19" spans="1:6" x14ac:dyDescent="0.35">
      <c r="A19" s="73">
        <v>17</v>
      </c>
      <c r="B19" s="9" t="s">
        <v>79</v>
      </c>
      <c r="C19" s="9" t="s">
        <v>20</v>
      </c>
    </row>
    <row r="20" spans="1:6" x14ac:dyDescent="0.35">
      <c r="A20" s="73">
        <v>18</v>
      </c>
      <c r="B20" s="8" t="s">
        <v>77</v>
      </c>
      <c r="C20" s="8" t="s">
        <v>19</v>
      </c>
      <c r="D20" s="41"/>
    </row>
    <row r="21" spans="1:6" x14ac:dyDescent="0.35">
      <c r="A21" s="73">
        <v>19</v>
      </c>
      <c r="B21" s="8" t="s">
        <v>80</v>
      </c>
      <c r="C21" s="8" t="s">
        <v>19</v>
      </c>
      <c r="D21" s="41"/>
    </row>
    <row r="22" spans="1:6" x14ac:dyDescent="0.35">
      <c r="A22" s="73">
        <v>20</v>
      </c>
      <c r="B22" s="7" t="s">
        <v>74</v>
      </c>
      <c r="C22" s="7" t="s">
        <v>15</v>
      </c>
      <c r="D22" s="41"/>
    </row>
    <row r="23" spans="1:6" x14ac:dyDescent="0.35">
      <c r="A23" s="73">
        <v>21</v>
      </c>
      <c r="B23" s="6" t="s">
        <v>78</v>
      </c>
      <c r="C23" s="6" t="s">
        <v>14</v>
      </c>
      <c r="D23" s="40"/>
    </row>
    <row r="24" spans="1:6" x14ac:dyDescent="0.35">
      <c r="A24" s="73">
        <v>22</v>
      </c>
      <c r="B24" s="11" t="s">
        <v>125</v>
      </c>
      <c r="C24" s="11" t="s">
        <v>17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5" t="s">
        <v>62</v>
      </c>
      <c r="C28" s="5" t="s">
        <v>13</v>
      </c>
      <c r="D28" s="34" t="s">
        <v>350</v>
      </c>
      <c r="E28" s="16" t="s">
        <v>277</v>
      </c>
      <c r="F28" s="5">
        <v>8</v>
      </c>
    </row>
    <row r="29" spans="1:6" x14ac:dyDescent="0.35">
      <c r="A29" s="73">
        <v>2</v>
      </c>
      <c r="B29" s="2" t="s">
        <v>63</v>
      </c>
      <c r="C29" s="2" t="s">
        <v>21</v>
      </c>
      <c r="D29" s="28" t="s">
        <v>350</v>
      </c>
      <c r="E29" s="17" t="s">
        <v>273</v>
      </c>
      <c r="F29" s="2">
        <v>7</v>
      </c>
    </row>
    <row r="30" spans="1:6" x14ac:dyDescent="0.35">
      <c r="A30" s="73">
        <v>3</v>
      </c>
      <c r="B30" s="3" t="s">
        <v>61</v>
      </c>
      <c r="C30" s="3" t="s">
        <v>11</v>
      </c>
      <c r="D30" s="26" t="s">
        <v>350</v>
      </c>
      <c r="E30" s="15" t="s">
        <v>274</v>
      </c>
      <c r="F30" s="3">
        <v>6</v>
      </c>
    </row>
    <row r="31" spans="1:6" x14ac:dyDescent="0.35">
      <c r="A31" s="73">
        <v>4</v>
      </c>
      <c r="B31" s="3" t="s">
        <v>65</v>
      </c>
      <c r="C31" s="3" t="s">
        <v>11</v>
      </c>
      <c r="D31" s="26" t="s">
        <v>350</v>
      </c>
      <c r="E31" s="15" t="s">
        <v>276</v>
      </c>
      <c r="F31" s="3">
        <v>5</v>
      </c>
    </row>
    <row r="32" spans="1:6" x14ac:dyDescent="0.35">
      <c r="A32" s="73">
        <v>5</v>
      </c>
      <c r="B32" s="4" t="s">
        <v>64</v>
      </c>
      <c r="C32" s="4" t="s">
        <v>12</v>
      </c>
      <c r="D32" s="29" t="s">
        <v>351</v>
      </c>
      <c r="E32" s="18" t="s">
        <v>279</v>
      </c>
      <c r="F32" s="4">
        <v>4</v>
      </c>
    </row>
    <row r="33" spans="1:6" x14ac:dyDescent="0.35">
      <c r="A33" s="73">
        <v>6</v>
      </c>
      <c r="B33" s="5" t="s">
        <v>68</v>
      </c>
      <c r="C33" s="5" t="s">
        <v>13</v>
      </c>
      <c r="D33" s="27" t="s">
        <v>351</v>
      </c>
      <c r="E33" s="16" t="s">
        <v>275</v>
      </c>
      <c r="F33" s="5">
        <v>3</v>
      </c>
    </row>
    <row r="34" spans="1:6" x14ac:dyDescent="0.35">
      <c r="A34" s="73">
        <v>7</v>
      </c>
      <c r="B34" s="2" t="s">
        <v>81</v>
      </c>
      <c r="C34" s="2" t="s">
        <v>21</v>
      </c>
      <c r="D34" s="28" t="s">
        <v>351</v>
      </c>
      <c r="E34" s="17" t="s">
        <v>278</v>
      </c>
      <c r="F34" s="2">
        <v>2</v>
      </c>
    </row>
    <row r="35" spans="1:6" x14ac:dyDescent="0.35">
      <c r="A35" s="73">
        <v>8</v>
      </c>
      <c r="B35" s="12" t="s">
        <v>67</v>
      </c>
      <c r="C35" s="12" t="s">
        <v>18</v>
      </c>
      <c r="D35" s="31" t="s">
        <v>351</v>
      </c>
      <c r="E35" s="20" t="s">
        <v>280</v>
      </c>
      <c r="F35" s="12">
        <v>1</v>
      </c>
    </row>
    <row r="36" spans="1:6" x14ac:dyDescent="0.35">
      <c r="A36" s="73">
        <v>9</v>
      </c>
      <c r="B36" s="4" t="s">
        <v>71</v>
      </c>
      <c r="C36" s="4" t="s">
        <v>12</v>
      </c>
      <c r="D36" s="29" t="s">
        <v>351</v>
      </c>
      <c r="E36" s="18" t="s">
        <v>281</v>
      </c>
      <c r="F36" s="4">
        <v>0</v>
      </c>
    </row>
    <row r="37" spans="1:6" x14ac:dyDescent="0.35">
      <c r="A37" s="73">
        <v>10</v>
      </c>
      <c r="B37" s="10" t="s">
        <v>70</v>
      </c>
      <c r="C37" s="10" t="s">
        <v>16</v>
      </c>
      <c r="D37" s="32" t="s">
        <v>351</v>
      </c>
      <c r="E37" s="21" t="s">
        <v>283</v>
      </c>
      <c r="F37" s="10">
        <v>0</v>
      </c>
    </row>
    <row r="38" spans="1:6" x14ac:dyDescent="0.35">
      <c r="A38" s="73">
        <v>11</v>
      </c>
      <c r="B38" s="7" t="s">
        <v>66</v>
      </c>
      <c r="C38" s="7" t="s">
        <v>15</v>
      </c>
      <c r="D38" s="30" t="s">
        <v>352</v>
      </c>
      <c r="E38" s="19" t="s">
        <v>285</v>
      </c>
      <c r="F38" s="7">
        <v>0</v>
      </c>
    </row>
    <row r="39" spans="1:6" x14ac:dyDescent="0.35">
      <c r="A39" s="73">
        <v>12</v>
      </c>
      <c r="B39" s="6" t="s">
        <v>72</v>
      </c>
      <c r="C39" s="6" t="s">
        <v>14</v>
      </c>
      <c r="D39" s="33" t="s">
        <v>351</v>
      </c>
      <c r="E39" s="22" t="s">
        <v>286</v>
      </c>
      <c r="F39" s="6">
        <v>0</v>
      </c>
    </row>
    <row r="40" spans="1:6" x14ac:dyDescent="0.35">
      <c r="A40" s="73">
        <v>13</v>
      </c>
      <c r="B40" s="10" t="s">
        <v>73</v>
      </c>
      <c r="C40" s="10" t="s">
        <v>16</v>
      </c>
      <c r="D40" s="32" t="s">
        <v>351</v>
      </c>
      <c r="E40" s="21" t="s">
        <v>282</v>
      </c>
      <c r="F40" s="10">
        <v>0</v>
      </c>
    </row>
    <row r="41" spans="1:6" x14ac:dyDescent="0.35">
      <c r="A41" s="73">
        <v>14</v>
      </c>
      <c r="B41" s="12" t="s">
        <v>69</v>
      </c>
      <c r="C41" s="12" t="s">
        <v>18</v>
      </c>
      <c r="D41" s="31" t="s">
        <v>350</v>
      </c>
      <c r="E41" s="20" t="s">
        <v>284</v>
      </c>
      <c r="F41" s="12">
        <v>0</v>
      </c>
    </row>
    <row r="42" spans="1:6" x14ac:dyDescent="0.35">
      <c r="A42" s="73">
        <v>15</v>
      </c>
      <c r="B42" s="9" t="s">
        <v>75</v>
      </c>
      <c r="C42" s="9" t="s">
        <v>20</v>
      </c>
      <c r="D42" s="35" t="s">
        <v>351</v>
      </c>
      <c r="E42" s="23" t="s">
        <v>290</v>
      </c>
      <c r="F42" s="9">
        <v>0</v>
      </c>
    </row>
    <row r="43" spans="1:6" x14ac:dyDescent="0.35">
      <c r="A43" s="73">
        <v>16</v>
      </c>
      <c r="B43" s="8" t="s">
        <v>77</v>
      </c>
      <c r="C43" s="8" t="s">
        <v>19</v>
      </c>
      <c r="D43" s="37" t="s">
        <v>352</v>
      </c>
      <c r="E43" s="25" t="s">
        <v>288</v>
      </c>
      <c r="F43" s="8">
        <v>0</v>
      </c>
    </row>
    <row r="44" spans="1:6" x14ac:dyDescent="0.35">
      <c r="A44" s="73">
        <v>17</v>
      </c>
      <c r="B44" s="7" t="s">
        <v>74</v>
      </c>
      <c r="C44" s="7" t="s">
        <v>15</v>
      </c>
      <c r="D44" s="30" t="s">
        <v>352</v>
      </c>
      <c r="E44" s="19" t="s">
        <v>291</v>
      </c>
      <c r="F44" s="7">
        <v>0</v>
      </c>
    </row>
    <row r="45" spans="1:6" x14ac:dyDescent="0.35">
      <c r="A45" s="73">
        <v>18</v>
      </c>
      <c r="B45" s="9" t="s">
        <v>79</v>
      </c>
      <c r="C45" s="9" t="s">
        <v>20</v>
      </c>
      <c r="D45" s="35" t="s">
        <v>351</v>
      </c>
      <c r="E45" s="23" t="s">
        <v>292</v>
      </c>
      <c r="F45" s="9">
        <v>0</v>
      </c>
    </row>
    <row r="46" spans="1:6" x14ac:dyDescent="0.35">
      <c r="A46" s="73">
        <v>19</v>
      </c>
      <c r="B46" s="11" t="s">
        <v>76</v>
      </c>
      <c r="C46" s="11" t="s">
        <v>17</v>
      </c>
      <c r="D46" s="36" t="s">
        <v>351</v>
      </c>
      <c r="E46" s="24" t="s">
        <v>287</v>
      </c>
      <c r="F46" s="11">
        <v>0</v>
      </c>
    </row>
    <row r="47" spans="1:6" x14ac:dyDescent="0.35">
      <c r="A47" s="73">
        <v>20</v>
      </c>
      <c r="B47" s="8" t="s">
        <v>80</v>
      </c>
      <c r="C47" s="8" t="s">
        <v>19</v>
      </c>
      <c r="D47" s="37" t="s">
        <v>351</v>
      </c>
      <c r="E47" s="25" t="s">
        <v>294</v>
      </c>
      <c r="F47" s="8">
        <v>0</v>
      </c>
    </row>
    <row r="48" spans="1:6" x14ac:dyDescent="0.35">
      <c r="A48" s="73">
        <v>21</v>
      </c>
      <c r="B48" s="6" t="s">
        <v>78</v>
      </c>
      <c r="C48" s="6" t="s">
        <v>14</v>
      </c>
      <c r="D48" s="33" t="s">
        <v>353</v>
      </c>
      <c r="E48" s="22" t="s">
        <v>289</v>
      </c>
      <c r="F48" s="6">
        <v>0</v>
      </c>
    </row>
    <row r="49" spans="1:6" x14ac:dyDescent="0.35">
      <c r="A49" s="73">
        <v>22</v>
      </c>
      <c r="B49" s="11" t="s">
        <v>125</v>
      </c>
      <c r="C49" s="11" t="s">
        <v>17</v>
      </c>
      <c r="D49" s="36" t="s">
        <v>352</v>
      </c>
      <c r="E49" s="24" t="s">
        <v>293</v>
      </c>
      <c r="F49" s="11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3" t="s">
        <v>11</v>
      </c>
      <c r="C53" s="3">
        <f t="shared" ref="C53:C63" si="0">SUMIF($C$28:$C$49,B53,$F$28:$F$49)</f>
        <v>11</v>
      </c>
    </row>
    <row r="54" spans="1:6" x14ac:dyDescent="0.35">
      <c r="A54" s="73">
        <v>2</v>
      </c>
      <c r="B54" s="5" t="s">
        <v>13</v>
      </c>
      <c r="C54" s="5">
        <f t="shared" si="0"/>
        <v>11</v>
      </c>
    </row>
    <row r="55" spans="1:6" x14ac:dyDescent="0.35">
      <c r="A55" s="73">
        <v>3</v>
      </c>
      <c r="B55" s="2" t="s">
        <v>21</v>
      </c>
      <c r="C55" s="2">
        <f t="shared" si="0"/>
        <v>9</v>
      </c>
    </row>
    <row r="56" spans="1:6" x14ac:dyDescent="0.35">
      <c r="A56" s="73">
        <v>4</v>
      </c>
      <c r="B56" s="4" t="s">
        <v>12</v>
      </c>
      <c r="C56" s="4">
        <f t="shared" si="0"/>
        <v>4</v>
      </c>
    </row>
    <row r="57" spans="1:6" x14ac:dyDescent="0.35">
      <c r="A57" s="73">
        <v>5</v>
      </c>
      <c r="B57" s="12" t="s">
        <v>18</v>
      </c>
      <c r="C57" s="12">
        <f t="shared" si="0"/>
        <v>1</v>
      </c>
    </row>
    <row r="58" spans="1:6" x14ac:dyDescent="0.35">
      <c r="A58" s="73">
        <v>6</v>
      </c>
      <c r="B58" s="7" t="s">
        <v>15</v>
      </c>
      <c r="C58" s="7">
        <f t="shared" si="0"/>
        <v>0</v>
      </c>
    </row>
    <row r="59" spans="1:6" x14ac:dyDescent="0.35">
      <c r="A59" s="73">
        <v>7</v>
      </c>
      <c r="B59" s="10" t="s">
        <v>16</v>
      </c>
      <c r="C59" s="10">
        <f t="shared" si="0"/>
        <v>0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CDFC-2B61-46F7-80FE-0E53DEDFC818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2" t="s">
        <v>63</v>
      </c>
      <c r="C3" s="2" t="s">
        <v>21</v>
      </c>
      <c r="D3" s="40"/>
    </row>
    <row r="4" spans="1:4" x14ac:dyDescent="0.35">
      <c r="A4" s="73">
        <v>2</v>
      </c>
      <c r="B4" s="3" t="s">
        <v>61</v>
      </c>
      <c r="C4" s="3" t="s">
        <v>11</v>
      </c>
      <c r="D4" s="40"/>
    </row>
    <row r="5" spans="1:4" x14ac:dyDescent="0.35">
      <c r="A5" s="73">
        <v>3</v>
      </c>
      <c r="B5" s="3" t="s">
        <v>65</v>
      </c>
      <c r="C5" s="3" t="s">
        <v>11</v>
      </c>
      <c r="D5" s="41"/>
    </row>
    <row r="6" spans="1:4" x14ac:dyDescent="0.35">
      <c r="A6" s="73">
        <v>4</v>
      </c>
      <c r="B6" s="12" t="s">
        <v>67</v>
      </c>
      <c r="C6" s="12" t="s">
        <v>18</v>
      </c>
      <c r="D6" s="41"/>
    </row>
    <row r="7" spans="1:4" x14ac:dyDescent="0.35">
      <c r="A7" s="73">
        <v>5</v>
      </c>
      <c r="B7" s="5" t="s">
        <v>62</v>
      </c>
      <c r="C7" s="5" t="s">
        <v>13</v>
      </c>
      <c r="D7" s="40"/>
    </row>
    <row r="8" spans="1:4" x14ac:dyDescent="0.35">
      <c r="A8" s="73">
        <v>6</v>
      </c>
      <c r="B8" s="5" t="s">
        <v>68</v>
      </c>
      <c r="C8" s="5" t="s">
        <v>13</v>
      </c>
      <c r="D8" s="40"/>
    </row>
    <row r="9" spans="1:4" x14ac:dyDescent="0.35">
      <c r="A9" s="73">
        <v>7</v>
      </c>
      <c r="B9" s="4" t="s">
        <v>64</v>
      </c>
      <c r="C9" s="4" t="s">
        <v>12</v>
      </c>
    </row>
    <row r="10" spans="1:4" x14ac:dyDescent="0.35">
      <c r="A10" s="73">
        <v>8</v>
      </c>
      <c r="B10" s="10" t="s">
        <v>73</v>
      </c>
      <c r="C10" s="10" t="s">
        <v>16</v>
      </c>
      <c r="D10" s="40"/>
    </row>
    <row r="11" spans="1:4" x14ac:dyDescent="0.35">
      <c r="A11" s="73">
        <v>9</v>
      </c>
      <c r="B11" s="4" t="s">
        <v>71</v>
      </c>
      <c r="C11" s="4" t="s">
        <v>12</v>
      </c>
      <c r="D11" s="41"/>
    </row>
    <row r="12" spans="1:4" x14ac:dyDescent="0.35">
      <c r="A12" s="73">
        <v>10</v>
      </c>
      <c r="B12" s="7" t="s">
        <v>66</v>
      </c>
      <c r="C12" s="7" t="s">
        <v>15</v>
      </c>
      <c r="D12" s="41"/>
    </row>
    <row r="13" spans="1:4" x14ac:dyDescent="0.35">
      <c r="A13" s="73">
        <v>11</v>
      </c>
      <c r="B13" s="10" t="s">
        <v>70</v>
      </c>
      <c r="C13" s="10" t="s">
        <v>16</v>
      </c>
      <c r="D13" s="41"/>
    </row>
    <row r="14" spans="1:4" x14ac:dyDescent="0.35">
      <c r="A14" s="73">
        <v>12</v>
      </c>
      <c r="B14" s="11" t="s">
        <v>76</v>
      </c>
      <c r="C14" s="11" t="s">
        <v>17</v>
      </c>
      <c r="D14" s="41"/>
    </row>
    <row r="15" spans="1:4" x14ac:dyDescent="0.35">
      <c r="A15" s="73">
        <v>13</v>
      </c>
      <c r="B15" s="6" t="s">
        <v>72</v>
      </c>
      <c r="C15" s="6" t="s">
        <v>14</v>
      </c>
      <c r="D15" s="41"/>
    </row>
    <row r="16" spans="1:4" x14ac:dyDescent="0.35">
      <c r="A16" s="73">
        <v>14</v>
      </c>
      <c r="B16" s="6" t="s">
        <v>78</v>
      </c>
      <c r="C16" s="6" t="s">
        <v>14</v>
      </c>
      <c r="D16" s="40"/>
    </row>
    <row r="17" spans="1:6" x14ac:dyDescent="0.35">
      <c r="A17" s="73">
        <v>15</v>
      </c>
      <c r="B17" s="12" t="s">
        <v>69</v>
      </c>
      <c r="C17" s="12" t="s">
        <v>18</v>
      </c>
      <c r="D17" s="41"/>
    </row>
    <row r="18" spans="1:6" x14ac:dyDescent="0.35">
      <c r="A18" s="73">
        <v>16</v>
      </c>
      <c r="B18" s="8" t="s">
        <v>80</v>
      </c>
      <c r="C18" s="8" t="s">
        <v>19</v>
      </c>
      <c r="D18" s="40"/>
    </row>
    <row r="19" spans="1:6" x14ac:dyDescent="0.35">
      <c r="A19" s="73">
        <v>17</v>
      </c>
      <c r="B19" s="11" t="s">
        <v>125</v>
      </c>
      <c r="C19" s="11" t="s">
        <v>17</v>
      </c>
    </row>
    <row r="20" spans="1:6" x14ac:dyDescent="0.35">
      <c r="A20" s="73">
        <v>18</v>
      </c>
      <c r="B20" s="7" t="s">
        <v>74</v>
      </c>
      <c r="C20" s="7" t="s">
        <v>15</v>
      </c>
      <c r="D20" s="41"/>
    </row>
    <row r="21" spans="1:6" x14ac:dyDescent="0.35">
      <c r="A21" s="73">
        <v>19</v>
      </c>
      <c r="B21" s="8" t="s">
        <v>77</v>
      </c>
      <c r="C21" s="8" t="s">
        <v>19</v>
      </c>
      <c r="D21" s="41"/>
    </row>
    <row r="22" spans="1:6" x14ac:dyDescent="0.35">
      <c r="A22" s="73">
        <v>20</v>
      </c>
      <c r="B22" s="9" t="s">
        <v>75</v>
      </c>
      <c r="C22" s="9" t="s">
        <v>20</v>
      </c>
      <c r="D22" s="41"/>
    </row>
    <row r="23" spans="1:6" x14ac:dyDescent="0.35">
      <c r="A23" s="73">
        <v>21</v>
      </c>
      <c r="B23" s="9" t="s">
        <v>79</v>
      </c>
      <c r="C23" s="9" t="s">
        <v>20</v>
      </c>
      <c r="D23" s="40"/>
    </row>
    <row r="24" spans="1:6" x14ac:dyDescent="0.35">
      <c r="A24" s="73">
        <v>22</v>
      </c>
      <c r="B24" s="53" t="s">
        <v>81</v>
      </c>
      <c r="C24" s="53" t="s">
        <v>21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8" t="s">
        <v>362</v>
      </c>
      <c r="E28" s="17" t="s">
        <v>354</v>
      </c>
      <c r="F28" s="2">
        <v>25</v>
      </c>
    </row>
    <row r="29" spans="1:6" x14ac:dyDescent="0.35">
      <c r="A29" s="73">
        <v>2</v>
      </c>
      <c r="B29" s="5" t="s">
        <v>62</v>
      </c>
      <c r="C29" s="5" t="s">
        <v>13</v>
      </c>
      <c r="D29" s="34" t="s">
        <v>363</v>
      </c>
      <c r="E29" s="16" t="s">
        <v>355</v>
      </c>
      <c r="F29" s="5">
        <v>19</v>
      </c>
    </row>
    <row r="30" spans="1:6" x14ac:dyDescent="0.35">
      <c r="A30" s="73">
        <v>3</v>
      </c>
      <c r="B30" s="3" t="s">
        <v>61</v>
      </c>
      <c r="C30" s="3" t="s">
        <v>11</v>
      </c>
      <c r="D30" s="26" t="s">
        <v>366</v>
      </c>
      <c r="E30" s="15" t="s">
        <v>356</v>
      </c>
      <c r="F30" s="3">
        <v>15</v>
      </c>
    </row>
    <row r="31" spans="1:6" x14ac:dyDescent="0.35">
      <c r="A31" s="73">
        <v>4</v>
      </c>
      <c r="B31" s="5" t="s">
        <v>68</v>
      </c>
      <c r="C31" s="5" t="s">
        <v>13</v>
      </c>
      <c r="D31" s="27" t="s">
        <v>364</v>
      </c>
      <c r="E31" s="16" t="s">
        <v>357</v>
      </c>
      <c r="F31" s="5">
        <v>12</v>
      </c>
    </row>
    <row r="32" spans="1:6" x14ac:dyDescent="0.35">
      <c r="A32" s="73">
        <v>5</v>
      </c>
      <c r="B32" s="3" t="s">
        <v>65</v>
      </c>
      <c r="C32" s="3" t="s">
        <v>11</v>
      </c>
      <c r="D32" s="26" t="s">
        <v>367</v>
      </c>
      <c r="E32" s="15" t="s">
        <v>358</v>
      </c>
      <c r="F32" s="3">
        <v>10</v>
      </c>
    </row>
    <row r="33" spans="1:6" x14ac:dyDescent="0.35">
      <c r="A33" s="73">
        <v>6</v>
      </c>
      <c r="B33" s="2" t="s">
        <v>81</v>
      </c>
      <c r="C33" s="2" t="s">
        <v>21</v>
      </c>
      <c r="D33" s="28" t="s">
        <v>365</v>
      </c>
      <c r="E33" s="17" t="s">
        <v>359</v>
      </c>
      <c r="F33" s="2">
        <v>8</v>
      </c>
    </row>
    <row r="34" spans="1:6" x14ac:dyDescent="0.35">
      <c r="A34" s="73">
        <v>7</v>
      </c>
      <c r="B34" s="4" t="s">
        <v>71</v>
      </c>
      <c r="C34" s="4" t="s">
        <v>12</v>
      </c>
      <c r="D34" s="29" t="s">
        <v>368</v>
      </c>
      <c r="E34" s="18" t="s">
        <v>360</v>
      </c>
      <c r="F34" s="4">
        <v>6</v>
      </c>
    </row>
    <row r="35" spans="1:6" x14ac:dyDescent="0.35">
      <c r="A35" s="73">
        <v>8</v>
      </c>
      <c r="B35" s="4" t="s">
        <v>64</v>
      </c>
      <c r="C35" s="4" t="s">
        <v>12</v>
      </c>
      <c r="D35" s="29" t="s">
        <v>369</v>
      </c>
      <c r="E35" s="18" t="s">
        <v>124</v>
      </c>
      <c r="F35" s="4">
        <v>4</v>
      </c>
    </row>
    <row r="36" spans="1:6" x14ac:dyDescent="0.35">
      <c r="A36" s="73">
        <v>9</v>
      </c>
      <c r="B36" s="7" t="s">
        <v>66</v>
      </c>
      <c r="C36" s="7" t="s">
        <v>15</v>
      </c>
      <c r="D36" s="30" t="s">
        <v>370</v>
      </c>
      <c r="E36" s="19" t="s">
        <v>361</v>
      </c>
      <c r="F36" s="7">
        <v>2</v>
      </c>
    </row>
    <row r="37" spans="1:6" x14ac:dyDescent="0.35">
      <c r="A37" s="73">
        <v>10</v>
      </c>
      <c r="B37" s="6" t="s">
        <v>72</v>
      </c>
      <c r="C37" s="6" t="s">
        <v>14</v>
      </c>
      <c r="D37" s="33" t="s">
        <v>372</v>
      </c>
      <c r="E37" s="22" t="s">
        <v>122</v>
      </c>
      <c r="F37" s="6">
        <v>1</v>
      </c>
    </row>
    <row r="38" spans="1:6" x14ac:dyDescent="0.35">
      <c r="A38" s="73">
        <v>11</v>
      </c>
      <c r="B38" s="10" t="s">
        <v>73</v>
      </c>
      <c r="C38" s="10" t="s">
        <v>16</v>
      </c>
      <c r="D38" s="32" t="s">
        <v>373</v>
      </c>
      <c r="E38" s="21" t="s">
        <v>122</v>
      </c>
      <c r="F38" s="10">
        <v>0</v>
      </c>
    </row>
    <row r="39" spans="1:6" x14ac:dyDescent="0.35">
      <c r="A39" s="73">
        <v>12</v>
      </c>
      <c r="B39" s="10" t="s">
        <v>70</v>
      </c>
      <c r="C39" s="10" t="s">
        <v>16</v>
      </c>
      <c r="D39" s="32" t="s">
        <v>374</v>
      </c>
      <c r="E39" s="21" t="s">
        <v>122</v>
      </c>
      <c r="F39" s="10">
        <v>0</v>
      </c>
    </row>
    <row r="40" spans="1:6" x14ac:dyDescent="0.35">
      <c r="A40" s="73">
        <v>13</v>
      </c>
      <c r="B40" s="9" t="s">
        <v>75</v>
      </c>
      <c r="C40" s="9" t="s">
        <v>20</v>
      </c>
      <c r="D40" s="35" t="s">
        <v>379</v>
      </c>
      <c r="E40" s="23" t="s">
        <v>122</v>
      </c>
      <c r="F40" s="9">
        <v>0</v>
      </c>
    </row>
    <row r="41" spans="1:6" x14ac:dyDescent="0.35">
      <c r="A41" s="73">
        <v>14</v>
      </c>
      <c r="B41" s="7" t="s">
        <v>74</v>
      </c>
      <c r="C41" s="7" t="s">
        <v>15</v>
      </c>
      <c r="D41" s="30" t="s">
        <v>380</v>
      </c>
      <c r="E41" s="19" t="s">
        <v>122</v>
      </c>
      <c r="F41" s="7">
        <v>0</v>
      </c>
    </row>
    <row r="42" spans="1:6" x14ac:dyDescent="0.35">
      <c r="A42" s="73">
        <v>15</v>
      </c>
      <c r="B42" s="11" t="s">
        <v>125</v>
      </c>
      <c r="C42" s="11" t="s">
        <v>17</v>
      </c>
      <c r="D42" s="36" t="s">
        <v>375</v>
      </c>
      <c r="E42" s="24" t="s">
        <v>122</v>
      </c>
      <c r="F42" s="11">
        <v>0</v>
      </c>
    </row>
    <row r="43" spans="1:6" x14ac:dyDescent="0.35">
      <c r="A43" s="73">
        <v>16</v>
      </c>
      <c r="B43" s="8" t="s">
        <v>80</v>
      </c>
      <c r="C43" s="8" t="s">
        <v>19</v>
      </c>
      <c r="D43" s="37" t="s">
        <v>381</v>
      </c>
      <c r="E43" s="25" t="s">
        <v>122</v>
      </c>
      <c r="F43" s="8">
        <v>0</v>
      </c>
    </row>
    <row r="44" spans="1:6" x14ac:dyDescent="0.35">
      <c r="A44" s="73">
        <v>17</v>
      </c>
      <c r="B44" s="8" t="s">
        <v>77</v>
      </c>
      <c r="C44" s="8" t="s">
        <v>19</v>
      </c>
      <c r="D44" s="37" t="s">
        <v>371</v>
      </c>
      <c r="E44" s="25" t="s">
        <v>122</v>
      </c>
      <c r="F44" s="8">
        <v>0</v>
      </c>
    </row>
    <row r="45" spans="1:6" x14ac:dyDescent="0.35">
      <c r="A45" s="73">
        <v>18</v>
      </c>
      <c r="B45" s="11" t="s">
        <v>76</v>
      </c>
      <c r="C45" s="11" t="s">
        <v>17</v>
      </c>
      <c r="D45" s="36" t="s">
        <v>376</v>
      </c>
      <c r="E45" s="24" t="s">
        <v>122</v>
      </c>
      <c r="F45" s="11">
        <v>0</v>
      </c>
    </row>
    <row r="46" spans="1:6" x14ac:dyDescent="0.35">
      <c r="A46" s="73">
        <v>19</v>
      </c>
      <c r="B46" s="6" t="s">
        <v>78</v>
      </c>
      <c r="C46" s="6" t="s">
        <v>14</v>
      </c>
      <c r="D46" s="33" t="s">
        <v>377</v>
      </c>
      <c r="E46" s="22" t="s">
        <v>122</v>
      </c>
      <c r="F46" s="6">
        <v>0</v>
      </c>
    </row>
    <row r="47" spans="1:6" x14ac:dyDescent="0.35">
      <c r="A47" s="73">
        <v>20</v>
      </c>
      <c r="B47" s="9" t="s">
        <v>79</v>
      </c>
      <c r="C47" s="9" t="s">
        <v>20</v>
      </c>
      <c r="D47" s="35" t="s">
        <v>382</v>
      </c>
      <c r="E47" s="23" t="s">
        <v>122</v>
      </c>
      <c r="F47" s="9">
        <v>0</v>
      </c>
    </row>
    <row r="48" spans="1:6" x14ac:dyDescent="0.35">
      <c r="A48" s="73">
        <v>21</v>
      </c>
      <c r="B48" s="12" t="s">
        <v>67</v>
      </c>
      <c r="C48" s="12" t="s">
        <v>18</v>
      </c>
      <c r="D48" s="31" t="s">
        <v>187</v>
      </c>
      <c r="E48" s="20" t="s">
        <v>124</v>
      </c>
      <c r="F48" s="12" t="s">
        <v>82</v>
      </c>
    </row>
    <row r="49" spans="1:6" x14ac:dyDescent="0.35">
      <c r="A49" s="73">
        <v>22</v>
      </c>
      <c r="B49" s="12" t="s">
        <v>69</v>
      </c>
      <c r="C49" s="12" t="s">
        <v>18</v>
      </c>
      <c r="D49" s="31" t="s">
        <v>378</v>
      </c>
      <c r="E49" s="20" t="s">
        <v>124</v>
      </c>
      <c r="F49" s="12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>SUMIF($C$28:$C$49,B53,$F$28:$F$49)</f>
        <v>33</v>
      </c>
    </row>
    <row r="54" spans="1:6" x14ac:dyDescent="0.35">
      <c r="A54" s="73">
        <v>2</v>
      </c>
      <c r="B54" s="5" t="s">
        <v>13</v>
      </c>
      <c r="C54" s="5">
        <f t="shared" ref="C54:C63" si="0">SUMIF($C$28:$C$47,B54,$F$28:$F$47)</f>
        <v>31</v>
      </c>
    </row>
    <row r="55" spans="1:6" x14ac:dyDescent="0.35">
      <c r="A55" s="73">
        <v>3</v>
      </c>
      <c r="B55" s="3" t="s">
        <v>11</v>
      </c>
      <c r="C55" s="3">
        <f t="shared" si="0"/>
        <v>25</v>
      </c>
    </row>
    <row r="56" spans="1:6" x14ac:dyDescent="0.35">
      <c r="A56" s="73">
        <v>4</v>
      </c>
      <c r="B56" s="4" t="s">
        <v>12</v>
      </c>
      <c r="C56" s="4">
        <f t="shared" si="0"/>
        <v>10</v>
      </c>
    </row>
    <row r="57" spans="1:6" x14ac:dyDescent="0.35">
      <c r="A57" s="73">
        <v>5</v>
      </c>
      <c r="B57" s="7" t="s">
        <v>15</v>
      </c>
      <c r="C57" s="7">
        <f t="shared" si="0"/>
        <v>2</v>
      </c>
    </row>
    <row r="58" spans="1:6" x14ac:dyDescent="0.35">
      <c r="A58" s="73">
        <v>6</v>
      </c>
      <c r="B58" s="6" t="s">
        <v>14</v>
      </c>
      <c r="C58" s="6">
        <f t="shared" si="0"/>
        <v>1</v>
      </c>
    </row>
    <row r="59" spans="1:6" x14ac:dyDescent="0.35">
      <c r="A59" s="73">
        <v>7</v>
      </c>
      <c r="B59" s="10" t="s">
        <v>16</v>
      </c>
      <c r="C59" s="10">
        <f t="shared" si="0"/>
        <v>0</v>
      </c>
    </row>
    <row r="60" spans="1:6" x14ac:dyDescent="0.35">
      <c r="A60" s="73">
        <v>8</v>
      </c>
      <c r="B60" s="9" t="s">
        <v>20</v>
      </c>
      <c r="C60" s="9">
        <f t="shared" si="0"/>
        <v>0</v>
      </c>
    </row>
    <row r="61" spans="1:6" x14ac:dyDescent="0.35">
      <c r="A61" s="73">
        <v>9</v>
      </c>
      <c r="B61" s="8" t="s">
        <v>19</v>
      </c>
      <c r="C61" s="8">
        <f t="shared" si="0"/>
        <v>0</v>
      </c>
    </row>
    <row r="62" spans="1:6" x14ac:dyDescent="0.35">
      <c r="A62" s="73">
        <v>10</v>
      </c>
      <c r="B62" s="12" t="s">
        <v>18</v>
      </c>
      <c r="C62" s="12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D29F-8A65-4E98-B369-4FF3554D9126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2" t="s">
        <v>63</v>
      </c>
      <c r="C3" s="2" t="s">
        <v>21</v>
      </c>
      <c r="D3" s="40"/>
    </row>
    <row r="4" spans="1:4" x14ac:dyDescent="0.35">
      <c r="A4" s="73">
        <v>2</v>
      </c>
      <c r="B4" s="49" t="s">
        <v>81</v>
      </c>
      <c r="C4" s="49" t="s">
        <v>21</v>
      </c>
      <c r="D4" s="40"/>
    </row>
    <row r="5" spans="1:4" x14ac:dyDescent="0.35">
      <c r="A5" s="73">
        <v>3</v>
      </c>
      <c r="B5" s="3" t="s">
        <v>65</v>
      </c>
      <c r="C5" s="3" t="s">
        <v>11</v>
      </c>
      <c r="D5" s="41"/>
    </row>
    <row r="6" spans="1:4" x14ac:dyDescent="0.35">
      <c r="A6" s="73">
        <v>4</v>
      </c>
      <c r="B6" s="5" t="s">
        <v>62</v>
      </c>
      <c r="C6" s="5" t="s">
        <v>13</v>
      </c>
      <c r="D6" s="41"/>
    </row>
    <row r="7" spans="1:4" x14ac:dyDescent="0.35">
      <c r="A7" s="73">
        <v>5</v>
      </c>
      <c r="B7" s="5" t="s">
        <v>68</v>
      </c>
      <c r="C7" s="5" t="s">
        <v>13</v>
      </c>
      <c r="D7" s="40"/>
    </row>
    <row r="8" spans="1:4" x14ac:dyDescent="0.35">
      <c r="A8" s="73">
        <v>6</v>
      </c>
      <c r="B8" s="3" t="s">
        <v>61</v>
      </c>
      <c r="C8" s="3" t="s">
        <v>11</v>
      </c>
      <c r="D8" s="40"/>
    </row>
    <row r="9" spans="1:4" x14ac:dyDescent="0.35">
      <c r="A9" s="73">
        <v>7</v>
      </c>
      <c r="B9" s="4" t="s">
        <v>64</v>
      </c>
      <c r="C9" s="4" t="s">
        <v>12</v>
      </c>
    </row>
    <row r="10" spans="1:4" x14ac:dyDescent="0.35">
      <c r="A10" s="73">
        <v>8</v>
      </c>
      <c r="B10" s="4" t="s">
        <v>71</v>
      </c>
      <c r="C10" s="4" t="s">
        <v>12</v>
      </c>
      <c r="D10" s="40"/>
    </row>
    <row r="11" spans="1:4" x14ac:dyDescent="0.35">
      <c r="A11" s="73">
        <v>9</v>
      </c>
      <c r="B11" s="12" t="s">
        <v>67</v>
      </c>
      <c r="C11" s="12" t="s">
        <v>18</v>
      </c>
      <c r="D11" s="41"/>
    </row>
    <row r="12" spans="1:4" x14ac:dyDescent="0.35">
      <c r="A12" s="73">
        <v>10</v>
      </c>
      <c r="B12" s="10" t="s">
        <v>73</v>
      </c>
      <c r="C12" s="10" t="s">
        <v>16</v>
      </c>
      <c r="D12" s="41"/>
    </row>
    <row r="13" spans="1:4" x14ac:dyDescent="0.35">
      <c r="A13" s="73">
        <v>11</v>
      </c>
      <c r="B13" s="6" t="s">
        <v>72</v>
      </c>
      <c r="C13" s="6" t="s">
        <v>14</v>
      </c>
      <c r="D13" s="41"/>
    </row>
    <row r="14" spans="1:4" x14ac:dyDescent="0.35">
      <c r="A14" s="73">
        <v>12</v>
      </c>
      <c r="B14" s="10" t="s">
        <v>70</v>
      </c>
      <c r="C14" s="10" t="s">
        <v>16</v>
      </c>
      <c r="D14" s="41"/>
    </row>
    <row r="15" spans="1:4" x14ac:dyDescent="0.35">
      <c r="A15" s="73">
        <v>13</v>
      </c>
      <c r="B15" s="12" t="s">
        <v>69</v>
      </c>
      <c r="C15" s="12" t="s">
        <v>18</v>
      </c>
      <c r="D15" s="41"/>
    </row>
    <row r="16" spans="1:4" x14ac:dyDescent="0.35">
      <c r="A16" s="73">
        <v>14</v>
      </c>
      <c r="B16" s="7" t="s">
        <v>66</v>
      </c>
      <c r="C16" s="7" t="s">
        <v>15</v>
      </c>
      <c r="D16" s="40"/>
    </row>
    <row r="17" spans="1:6" x14ac:dyDescent="0.35">
      <c r="A17" s="73">
        <v>15</v>
      </c>
      <c r="B17" s="11" t="s">
        <v>76</v>
      </c>
      <c r="C17" s="11" t="s">
        <v>17</v>
      </c>
      <c r="D17" s="41"/>
    </row>
    <row r="18" spans="1:6" x14ac:dyDescent="0.35">
      <c r="A18" s="73">
        <v>16</v>
      </c>
      <c r="B18" s="9" t="s">
        <v>75</v>
      </c>
      <c r="C18" s="9" t="s">
        <v>20</v>
      </c>
      <c r="D18" s="40"/>
    </row>
    <row r="19" spans="1:6" x14ac:dyDescent="0.35">
      <c r="A19" s="73">
        <v>17</v>
      </c>
      <c r="B19" s="8" t="s">
        <v>77</v>
      </c>
      <c r="C19" s="8" t="s">
        <v>19</v>
      </c>
    </row>
    <row r="20" spans="1:6" x14ac:dyDescent="0.35">
      <c r="A20" s="73">
        <v>18</v>
      </c>
      <c r="B20" s="8" t="s">
        <v>80</v>
      </c>
      <c r="C20" s="8" t="s">
        <v>19</v>
      </c>
      <c r="D20" s="41"/>
    </row>
    <row r="21" spans="1:6" x14ac:dyDescent="0.35">
      <c r="A21" s="73">
        <v>19</v>
      </c>
      <c r="B21" s="7" t="s">
        <v>74</v>
      </c>
      <c r="C21" s="7" t="s">
        <v>15</v>
      </c>
      <c r="D21" s="41"/>
    </row>
    <row r="22" spans="1:6" x14ac:dyDescent="0.35">
      <c r="A22" s="73">
        <v>20</v>
      </c>
      <c r="B22" s="6" t="s">
        <v>78</v>
      </c>
      <c r="C22" s="6" t="s">
        <v>14</v>
      </c>
      <c r="D22" s="41"/>
    </row>
    <row r="23" spans="1:6" x14ac:dyDescent="0.35">
      <c r="A23" s="73">
        <v>21</v>
      </c>
      <c r="B23" s="11" t="s">
        <v>125</v>
      </c>
      <c r="C23" s="11" t="s">
        <v>17</v>
      </c>
      <c r="D23" s="40"/>
    </row>
    <row r="24" spans="1:6" x14ac:dyDescent="0.35">
      <c r="A24" s="73">
        <v>22</v>
      </c>
      <c r="B24" s="9" t="s">
        <v>79</v>
      </c>
      <c r="C24" s="9" t="s">
        <v>20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38" t="s">
        <v>391</v>
      </c>
      <c r="E28" s="17" t="s">
        <v>383</v>
      </c>
      <c r="F28" s="2">
        <v>26</v>
      </c>
    </row>
    <row r="29" spans="1:6" x14ac:dyDescent="0.35">
      <c r="A29" s="73">
        <v>2</v>
      </c>
      <c r="B29" s="3" t="s">
        <v>61</v>
      </c>
      <c r="C29" s="3" t="s">
        <v>11</v>
      </c>
      <c r="D29" s="26" t="s">
        <v>392</v>
      </c>
      <c r="E29" s="15" t="s">
        <v>384</v>
      </c>
      <c r="F29" s="3">
        <v>18</v>
      </c>
    </row>
    <row r="30" spans="1:6" x14ac:dyDescent="0.35">
      <c r="A30" s="73">
        <v>3</v>
      </c>
      <c r="B30" s="5" t="s">
        <v>62</v>
      </c>
      <c r="C30" s="5" t="s">
        <v>13</v>
      </c>
      <c r="D30" s="27" t="s">
        <v>393</v>
      </c>
      <c r="E30" s="16" t="s">
        <v>385</v>
      </c>
      <c r="F30" s="5">
        <v>15</v>
      </c>
    </row>
    <row r="31" spans="1:6" x14ac:dyDescent="0.35">
      <c r="A31" s="73">
        <v>4</v>
      </c>
      <c r="B31" s="3" t="s">
        <v>65</v>
      </c>
      <c r="C31" s="3" t="s">
        <v>11</v>
      </c>
      <c r="D31" s="26" t="s">
        <v>394</v>
      </c>
      <c r="E31" s="15" t="s">
        <v>386</v>
      </c>
      <c r="F31" s="3">
        <v>12</v>
      </c>
    </row>
    <row r="32" spans="1:6" x14ac:dyDescent="0.35">
      <c r="A32" s="73">
        <v>5</v>
      </c>
      <c r="B32" s="5" t="s">
        <v>68</v>
      </c>
      <c r="C32" s="5" t="s">
        <v>13</v>
      </c>
      <c r="D32" s="27" t="s">
        <v>395</v>
      </c>
      <c r="E32" s="16" t="s">
        <v>387</v>
      </c>
      <c r="F32" s="5">
        <v>10</v>
      </c>
    </row>
    <row r="33" spans="1:6" x14ac:dyDescent="0.35">
      <c r="A33" s="73">
        <v>6</v>
      </c>
      <c r="B33" s="4" t="s">
        <v>64</v>
      </c>
      <c r="C33" s="4" t="s">
        <v>12</v>
      </c>
      <c r="D33" s="29" t="s">
        <v>396</v>
      </c>
      <c r="E33" s="18" t="s">
        <v>388</v>
      </c>
      <c r="F33" s="4">
        <v>8</v>
      </c>
    </row>
    <row r="34" spans="1:6" x14ac:dyDescent="0.35">
      <c r="A34" s="73">
        <v>7</v>
      </c>
      <c r="B34" s="2" t="s">
        <v>81</v>
      </c>
      <c r="C34" s="2" t="s">
        <v>21</v>
      </c>
      <c r="D34" s="28" t="s">
        <v>397</v>
      </c>
      <c r="E34" s="17" t="s">
        <v>389</v>
      </c>
      <c r="F34" s="2">
        <v>6</v>
      </c>
    </row>
    <row r="35" spans="1:6" x14ac:dyDescent="0.35">
      <c r="A35" s="73">
        <v>8</v>
      </c>
      <c r="B35" s="4" t="s">
        <v>71</v>
      </c>
      <c r="C35" s="4" t="s">
        <v>12</v>
      </c>
      <c r="D35" s="29" t="s">
        <v>398</v>
      </c>
      <c r="E35" s="18" t="s">
        <v>293</v>
      </c>
      <c r="F35" s="4">
        <v>4</v>
      </c>
    </row>
    <row r="36" spans="1:6" x14ac:dyDescent="0.35">
      <c r="A36" s="73">
        <v>9</v>
      </c>
      <c r="B36" s="12" t="s">
        <v>67</v>
      </c>
      <c r="C36" s="12" t="s">
        <v>18</v>
      </c>
      <c r="D36" s="31" t="s">
        <v>399</v>
      </c>
      <c r="E36" s="20" t="s">
        <v>390</v>
      </c>
      <c r="F36" s="12">
        <v>2</v>
      </c>
    </row>
    <row r="37" spans="1:6" x14ac:dyDescent="0.35">
      <c r="A37" s="73">
        <v>10</v>
      </c>
      <c r="B37" s="10" t="s">
        <v>70</v>
      </c>
      <c r="C37" s="10" t="s">
        <v>16</v>
      </c>
      <c r="D37" s="32" t="s">
        <v>400</v>
      </c>
      <c r="E37" s="21" t="s">
        <v>122</v>
      </c>
      <c r="F37" s="10">
        <v>1</v>
      </c>
    </row>
    <row r="38" spans="1:6" x14ac:dyDescent="0.35">
      <c r="A38" s="73">
        <v>11</v>
      </c>
      <c r="B38" s="6" t="s">
        <v>72</v>
      </c>
      <c r="C38" s="6" t="s">
        <v>14</v>
      </c>
      <c r="D38" s="33" t="s">
        <v>401</v>
      </c>
      <c r="E38" s="22" t="s">
        <v>122</v>
      </c>
      <c r="F38" s="6">
        <v>0</v>
      </c>
    </row>
    <row r="39" spans="1:6" x14ac:dyDescent="0.35">
      <c r="A39" s="73">
        <v>12</v>
      </c>
      <c r="B39" s="10" t="s">
        <v>73</v>
      </c>
      <c r="C39" s="10" t="s">
        <v>16</v>
      </c>
      <c r="D39" s="32" t="s">
        <v>402</v>
      </c>
      <c r="E39" s="21" t="s">
        <v>122</v>
      </c>
      <c r="F39" s="10">
        <v>0</v>
      </c>
    </row>
    <row r="40" spans="1:6" x14ac:dyDescent="0.35">
      <c r="A40" s="73">
        <v>13</v>
      </c>
      <c r="B40" s="12" t="s">
        <v>69</v>
      </c>
      <c r="C40" s="12" t="s">
        <v>18</v>
      </c>
      <c r="D40" s="31" t="s">
        <v>403</v>
      </c>
      <c r="E40" s="20" t="s">
        <v>122</v>
      </c>
      <c r="F40" s="12">
        <v>0</v>
      </c>
    </row>
    <row r="41" spans="1:6" x14ac:dyDescent="0.35">
      <c r="A41" s="73">
        <v>14</v>
      </c>
      <c r="B41" s="7" t="s">
        <v>74</v>
      </c>
      <c r="C41" s="7" t="s">
        <v>15</v>
      </c>
      <c r="D41" s="30" t="s">
        <v>404</v>
      </c>
      <c r="E41" s="19" t="s">
        <v>122</v>
      </c>
      <c r="F41" s="7">
        <v>0</v>
      </c>
    </row>
    <row r="42" spans="1:6" x14ac:dyDescent="0.35">
      <c r="A42" s="73">
        <v>15</v>
      </c>
      <c r="B42" s="9" t="s">
        <v>75</v>
      </c>
      <c r="C42" s="9" t="s">
        <v>20</v>
      </c>
      <c r="D42" s="35" t="s">
        <v>405</v>
      </c>
      <c r="E42" s="23" t="s">
        <v>122</v>
      </c>
      <c r="F42" s="9">
        <v>0</v>
      </c>
    </row>
    <row r="43" spans="1:6" x14ac:dyDescent="0.35">
      <c r="A43" s="73">
        <v>16</v>
      </c>
      <c r="B43" s="6" t="s">
        <v>78</v>
      </c>
      <c r="C43" s="6" t="s">
        <v>14</v>
      </c>
      <c r="D43" s="33" t="s">
        <v>406</v>
      </c>
      <c r="E43" s="22" t="s">
        <v>122</v>
      </c>
      <c r="F43" s="6">
        <v>0</v>
      </c>
    </row>
    <row r="44" spans="1:6" x14ac:dyDescent="0.35">
      <c r="A44" s="73">
        <v>17</v>
      </c>
      <c r="B44" s="7" t="s">
        <v>66</v>
      </c>
      <c r="C44" s="7" t="s">
        <v>15</v>
      </c>
      <c r="D44" s="30" t="s">
        <v>407</v>
      </c>
      <c r="E44" s="19" t="s">
        <v>122</v>
      </c>
      <c r="F44" s="7">
        <v>0</v>
      </c>
    </row>
    <row r="45" spans="1:6" x14ac:dyDescent="0.35">
      <c r="A45" s="73">
        <v>18</v>
      </c>
      <c r="B45" s="11" t="s">
        <v>76</v>
      </c>
      <c r="C45" s="11" t="s">
        <v>17</v>
      </c>
      <c r="D45" s="36" t="s">
        <v>408</v>
      </c>
      <c r="E45" s="24" t="s">
        <v>122</v>
      </c>
      <c r="F45" s="11">
        <v>0</v>
      </c>
    </row>
    <row r="46" spans="1:6" x14ac:dyDescent="0.35">
      <c r="A46" s="73">
        <v>19</v>
      </c>
      <c r="B46" s="11" t="s">
        <v>125</v>
      </c>
      <c r="C46" s="11" t="s">
        <v>17</v>
      </c>
      <c r="D46" s="36" t="s">
        <v>409</v>
      </c>
      <c r="E46" s="24" t="s">
        <v>122</v>
      </c>
      <c r="F46" s="11">
        <v>0</v>
      </c>
    </row>
    <row r="47" spans="1:6" x14ac:dyDescent="0.35">
      <c r="A47" s="73">
        <v>20</v>
      </c>
      <c r="B47" s="8" t="s">
        <v>77</v>
      </c>
      <c r="C47" s="8" t="s">
        <v>19</v>
      </c>
      <c r="D47" s="37" t="s">
        <v>410</v>
      </c>
      <c r="E47" s="25" t="s">
        <v>123</v>
      </c>
      <c r="F47" s="8">
        <v>0</v>
      </c>
    </row>
    <row r="48" spans="1:6" x14ac:dyDescent="0.35">
      <c r="A48" s="73">
        <v>21</v>
      </c>
      <c r="B48" s="8" t="s">
        <v>80</v>
      </c>
      <c r="C48" s="8" t="s">
        <v>19</v>
      </c>
      <c r="D48" s="37" t="s">
        <v>411</v>
      </c>
      <c r="E48" s="25" t="s">
        <v>123</v>
      </c>
      <c r="F48" s="8">
        <v>0</v>
      </c>
    </row>
    <row r="49" spans="1:6" x14ac:dyDescent="0.35">
      <c r="A49" s="73">
        <v>22</v>
      </c>
      <c r="B49" s="9" t="s">
        <v>79</v>
      </c>
      <c r="C49" s="9" t="s">
        <v>20</v>
      </c>
      <c r="D49" s="35" t="s">
        <v>412</v>
      </c>
      <c r="E49" s="23" t="s">
        <v>123</v>
      </c>
      <c r="F49" s="9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 t="shared" ref="C53:C63" si="0">SUMIF($C$28:$C$49,B53,$F$28:$F$49)</f>
        <v>32</v>
      </c>
    </row>
    <row r="54" spans="1:6" x14ac:dyDescent="0.35">
      <c r="A54" s="73">
        <v>2</v>
      </c>
      <c r="B54" s="3" t="s">
        <v>11</v>
      </c>
      <c r="C54" s="3">
        <f t="shared" si="0"/>
        <v>30</v>
      </c>
    </row>
    <row r="55" spans="1:6" x14ac:dyDescent="0.35">
      <c r="A55" s="73">
        <v>3</v>
      </c>
      <c r="B55" s="5" t="s">
        <v>13</v>
      </c>
      <c r="C55" s="5">
        <f t="shared" si="0"/>
        <v>25</v>
      </c>
    </row>
    <row r="56" spans="1:6" x14ac:dyDescent="0.35">
      <c r="A56" s="73">
        <v>4</v>
      </c>
      <c r="B56" s="4" t="s">
        <v>12</v>
      </c>
      <c r="C56" s="4">
        <f t="shared" si="0"/>
        <v>12</v>
      </c>
    </row>
    <row r="57" spans="1:6" x14ac:dyDescent="0.35">
      <c r="A57" s="73">
        <v>5</v>
      </c>
      <c r="B57" s="12" t="s">
        <v>18</v>
      </c>
      <c r="C57" s="12">
        <f t="shared" si="0"/>
        <v>2</v>
      </c>
    </row>
    <row r="58" spans="1:6" x14ac:dyDescent="0.35">
      <c r="A58" s="73">
        <v>6</v>
      </c>
      <c r="B58" s="10" t="s">
        <v>16</v>
      </c>
      <c r="C58" s="10">
        <f t="shared" si="0"/>
        <v>1</v>
      </c>
    </row>
    <row r="59" spans="1:6" x14ac:dyDescent="0.35">
      <c r="A59" s="73">
        <v>7</v>
      </c>
      <c r="B59" s="7" t="s">
        <v>15</v>
      </c>
      <c r="C59" s="7">
        <f t="shared" si="0"/>
        <v>0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C531-6C6E-4FC2-9096-D8535CF63FAB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2" t="s">
        <v>63</v>
      </c>
      <c r="C3" s="2" t="s">
        <v>21</v>
      </c>
      <c r="D3" s="40"/>
    </row>
    <row r="4" spans="1:4" x14ac:dyDescent="0.35">
      <c r="A4" s="73">
        <v>2</v>
      </c>
      <c r="B4" s="49" t="s">
        <v>81</v>
      </c>
      <c r="C4" s="49" t="s">
        <v>21</v>
      </c>
      <c r="D4" s="40"/>
    </row>
    <row r="5" spans="1:4" x14ac:dyDescent="0.35">
      <c r="A5" s="73">
        <v>3</v>
      </c>
      <c r="B5" s="3" t="s">
        <v>61</v>
      </c>
      <c r="C5" s="3" t="s">
        <v>11</v>
      </c>
      <c r="D5" s="41"/>
    </row>
    <row r="6" spans="1:4" x14ac:dyDescent="0.35">
      <c r="A6" s="73">
        <v>4</v>
      </c>
      <c r="B6" s="3" t="s">
        <v>65</v>
      </c>
      <c r="C6" s="3" t="s">
        <v>11</v>
      </c>
      <c r="D6" s="41"/>
    </row>
    <row r="7" spans="1:4" x14ac:dyDescent="0.35">
      <c r="A7" s="73">
        <v>5</v>
      </c>
      <c r="B7" s="5" t="s">
        <v>62</v>
      </c>
      <c r="C7" s="5" t="s">
        <v>13</v>
      </c>
    </row>
    <row r="8" spans="1:4" x14ac:dyDescent="0.35">
      <c r="A8" s="73">
        <v>6</v>
      </c>
      <c r="B8" s="5" t="s">
        <v>68</v>
      </c>
      <c r="C8" s="5" t="s">
        <v>13</v>
      </c>
      <c r="D8" s="40"/>
    </row>
    <row r="9" spans="1:4" x14ac:dyDescent="0.35">
      <c r="A9" s="73">
        <v>7</v>
      </c>
      <c r="B9" s="4" t="s">
        <v>64</v>
      </c>
      <c r="C9" s="4" t="s">
        <v>12</v>
      </c>
    </row>
    <row r="10" spans="1:4" x14ac:dyDescent="0.35">
      <c r="A10" s="73">
        <v>8</v>
      </c>
      <c r="B10" s="12" t="s">
        <v>67</v>
      </c>
      <c r="C10" s="12" t="s">
        <v>18</v>
      </c>
      <c r="D10" s="40"/>
    </row>
    <row r="11" spans="1:4" x14ac:dyDescent="0.35">
      <c r="A11" s="73">
        <v>9</v>
      </c>
      <c r="B11" s="10" t="s">
        <v>73</v>
      </c>
      <c r="C11" s="10" t="s">
        <v>16</v>
      </c>
      <c r="D11" s="41"/>
    </row>
    <row r="12" spans="1:4" x14ac:dyDescent="0.35">
      <c r="A12" s="73">
        <v>10</v>
      </c>
      <c r="B12" s="4" t="s">
        <v>71</v>
      </c>
      <c r="C12" s="4" t="s">
        <v>12</v>
      </c>
      <c r="D12" s="41"/>
    </row>
    <row r="13" spans="1:4" x14ac:dyDescent="0.35">
      <c r="A13" s="73">
        <v>11</v>
      </c>
      <c r="B13" s="10" t="s">
        <v>70</v>
      </c>
      <c r="C13" s="10" t="s">
        <v>16</v>
      </c>
      <c r="D13" s="41"/>
    </row>
    <row r="14" spans="1:4" x14ac:dyDescent="0.35">
      <c r="A14" s="73">
        <v>12</v>
      </c>
      <c r="B14" s="6" t="s">
        <v>72</v>
      </c>
      <c r="C14" s="6" t="s">
        <v>14</v>
      </c>
      <c r="D14" s="41"/>
    </row>
    <row r="15" spans="1:4" x14ac:dyDescent="0.35">
      <c r="A15" s="73">
        <v>13</v>
      </c>
      <c r="B15" s="7" t="s">
        <v>66</v>
      </c>
      <c r="C15" s="7" t="s">
        <v>15</v>
      </c>
      <c r="D15" s="41"/>
    </row>
    <row r="16" spans="1:4" x14ac:dyDescent="0.35">
      <c r="A16" s="73">
        <v>14</v>
      </c>
      <c r="B16" s="12" t="s">
        <v>69</v>
      </c>
      <c r="C16" s="12" t="s">
        <v>18</v>
      </c>
      <c r="D16" s="40"/>
    </row>
    <row r="17" spans="1:6" x14ac:dyDescent="0.35">
      <c r="A17" s="73">
        <v>15</v>
      </c>
      <c r="B17" s="11" t="s">
        <v>76</v>
      </c>
      <c r="C17" s="11" t="s">
        <v>17</v>
      </c>
      <c r="D17" s="41"/>
    </row>
    <row r="18" spans="1:6" x14ac:dyDescent="0.35">
      <c r="A18" s="73">
        <v>16</v>
      </c>
      <c r="B18" s="8" t="s">
        <v>77</v>
      </c>
      <c r="C18" s="8" t="s">
        <v>19</v>
      </c>
      <c r="D18" s="40"/>
    </row>
    <row r="19" spans="1:6" x14ac:dyDescent="0.35">
      <c r="A19" s="73">
        <v>17</v>
      </c>
      <c r="B19" s="9" t="s">
        <v>75</v>
      </c>
      <c r="C19" s="9" t="s">
        <v>20</v>
      </c>
    </row>
    <row r="20" spans="1:6" x14ac:dyDescent="0.35">
      <c r="A20" s="73">
        <v>18</v>
      </c>
      <c r="B20" s="6" t="s">
        <v>78</v>
      </c>
      <c r="C20" s="6" t="s">
        <v>14</v>
      </c>
      <c r="D20" s="41"/>
    </row>
    <row r="21" spans="1:6" x14ac:dyDescent="0.35">
      <c r="A21" s="73">
        <v>19</v>
      </c>
      <c r="B21" s="7" t="s">
        <v>74</v>
      </c>
      <c r="C21" s="7" t="s">
        <v>15</v>
      </c>
      <c r="D21" s="41"/>
    </row>
    <row r="22" spans="1:6" x14ac:dyDescent="0.35">
      <c r="A22" s="73">
        <v>20</v>
      </c>
      <c r="B22" s="9" t="s">
        <v>79</v>
      </c>
      <c r="C22" s="9" t="s">
        <v>20</v>
      </c>
      <c r="D22" s="41"/>
    </row>
    <row r="23" spans="1:6" x14ac:dyDescent="0.35">
      <c r="A23" s="73">
        <v>21</v>
      </c>
      <c r="B23" s="8" t="s">
        <v>80</v>
      </c>
      <c r="C23" s="8" t="s">
        <v>19</v>
      </c>
      <c r="D23" s="40"/>
    </row>
    <row r="24" spans="1:6" x14ac:dyDescent="0.35">
      <c r="A24" s="73">
        <v>22</v>
      </c>
      <c r="B24" s="11" t="s">
        <v>125</v>
      </c>
      <c r="C24" s="11" t="s">
        <v>17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38" t="s">
        <v>425</v>
      </c>
      <c r="E28" s="17" t="s">
        <v>413</v>
      </c>
      <c r="F28" s="2">
        <v>26</v>
      </c>
    </row>
    <row r="29" spans="1:6" x14ac:dyDescent="0.35">
      <c r="A29" s="73">
        <v>2</v>
      </c>
      <c r="B29" s="2" t="s">
        <v>81</v>
      </c>
      <c r="C29" s="2" t="s">
        <v>21</v>
      </c>
      <c r="D29" s="28" t="s">
        <v>426</v>
      </c>
      <c r="E29" s="17" t="s">
        <v>414</v>
      </c>
      <c r="F29" s="2">
        <v>18</v>
      </c>
    </row>
    <row r="30" spans="1:6" x14ac:dyDescent="0.35">
      <c r="A30" s="73">
        <v>3</v>
      </c>
      <c r="B30" s="3" t="s">
        <v>61</v>
      </c>
      <c r="C30" s="3" t="s">
        <v>11</v>
      </c>
      <c r="D30" s="26" t="s">
        <v>427</v>
      </c>
      <c r="E30" s="15" t="s">
        <v>415</v>
      </c>
      <c r="F30" s="3">
        <v>15</v>
      </c>
    </row>
    <row r="31" spans="1:6" x14ac:dyDescent="0.35">
      <c r="A31" s="73">
        <v>4</v>
      </c>
      <c r="B31" s="4" t="s">
        <v>64</v>
      </c>
      <c r="C31" s="4" t="s">
        <v>12</v>
      </c>
      <c r="D31" s="29" t="s">
        <v>428</v>
      </c>
      <c r="E31" s="18" t="s">
        <v>416</v>
      </c>
      <c r="F31" s="4">
        <v>12</v>
      </c>
    </row>
    <row r="32" spans="1:6" x14ac:dyDescent="0.35">
      <c r="A32" s="73">
        <v>5</v>
      </c>
      <c r="B32" s="5" t="s">
        <v>62</v>
      </c>
      <c r="C32" s="5" t="s">
        <v>13</v>
      </c>
      <c r="D32" s="27" t="s">
        <v>429</v>
      </c>
      <c r="E32" s="16" t="s">
        <v>417</v>
      </c>
      <c r="F32" s="5">
        <v>10</v>
      </c>
    </row>
    <row r="33" spans="1:6" x14ac:dyDescent="0.35">
      <c r="A33" s="73">
        <v>6</v>
      </c>
      <c r="B33" s="3" t="s">
        <v>65</v>
      </c>
      <c r="C33" s="3" t="s">
        <v>11</v>
      </c>
      <c r="D33" s="26" t="s">
        <v>430</v>
      </c>
      <c r="E33" s="15" t="s">
        <v>418</v>
      </c>
      <c r="F33" s="3">
        <v>8</v>
      </c>
    </row>
    <row r="34" spans="1:6" x14ac:dyDescent="0.35">
      <c r="A34" s="73">
        <v>7</v>
      </c>
      <c r="B34" s="4" t="s">
        <v>71</v>
      </c>
      <c r="C34" s="4" t="s">
        <v>12</v>
      </c>
      <c r="D34" s="29" t="s">
        <v>431</v>
      </c>
      <c r="E34" s="18" t="s">
        <v>419</v>
      </c>
      <c r="F34" s="4">
        <v>6</v>
      </c>
    </row>
    <row r="35" spans="1:6" x14ac:dyDescent="0.35">
      <c r="A35" s="73">
        <v>8</v>
      </c>
      <c r="B35" s="10" t="s">
        <v>70</v>
      </c>
      <c r="C35" s="10" t="s">
        <v>16</v>
      </c>
      <c r="D35" s="32" t="s">
        <v>432</v>
      </c>
      <c r="E35" s="21" t="s">
        <v>420</v>
      </c>
      <c r="F35" s="10">
        <v>4</v>
      </c>
    </row>
    <row r="36" spans="1:6" x14ac:dyDescent="0.35">
      <c r="A36" s="73">
        <v>9</v>
      </c>
      <c r="B36" s="5" t="s">
        <v>68</v>
      </c>
      <c r="C36" s="5" t="s">
        <v>13</v>
      </c>
      <c r="D36" s="27" t="s">
        <v>433</v>
      </c>
      <c r="E36" s="16" t="s">
        <v>421</v>
      </c>
      <c r="F36" s="5">
        <v>2</v>
      </c>
    </row>
    <row r="37" spans="1:6" x14ac:dyDescent="0.35">
      <c r="A37" s="73">
        <v>10</v>
      </c>
      <c r="B37" s="12" t="s">
        <v>67</v>
      </c>
      <c r="C37" s="12" t="s">
        <v>18</v>
      </c>
      <c r="D37" s="31" t="s">
        <v>434</v>
      </c>
      <c r="E37" s="20" t="s">
        <v>422</v>
      </c>
      <c r="F37" s="12">
        <v>1</v>
      </c>
    </row>
    <row r="38" spans="1:6" x14ac:dyDescent="0.35">
      <c r="A38" s="73">
        <v>11</v>
      </c>
      <c r="B38" s="10" t="s">
        <v>73</v>
      </c>
      <c r="C38" s="10" t="s">
        <v>16</v>
      </c>
      <c r="D38" s="32" t="s">
        <v>435</v>
      </c>
      <c r="E38" s="21" t="s">
        <v>423</v>
      </c>
      <c r="F38" s="10">
        <v>0</v>
      </c>
    </row>
    <row r="39" spans="1:6" x14ac:dyDescent="0.35">
      <c r="A39" s="73">
        <v>12</v>
      </c>
      <c r="B39" s="11" t="s">
        <v>76</v>
      </c>
      <c r="C39" s="11" t="s">
        <v>17</v>
      </c>
      <c r="D39" s="36" t="s">
        <v>436</v>
      </c>
      <c r="E39" s="24" t="s">
        <v>424</v>
      </c>
      <c r="F39" s="11">
        <v>0</v>
      </c>
    </row>
    <row r="40" spans="1:6" x14ac:dyDescent="0.35">
      <c r="A40" s="73">
        <v>13</v>
      </c>
      <c r="B40" s="9" t="s">
        <v>75</v>
      </c>
      <c r="C40" s="9" t="s">
        <v>20</v>
      </c>
      <c r="D40" s="35" t="s">
        <v>437</v>
      </c>
      <c r="E40" s="23" t="s">
        <v>122</v>
      </c>
      <c r="F40" s="9">
        <v>0</v>
      </c>
    </row>
    <row r="41" spans="1:6" x14ac:dyDescent="0.35">
      <c r="A41" s="73">
        <v>14</v>
      </c>
      <c r="B41" s="6" t="s">
        <v>72</v>
      </c>
      <c r="C41" s="6" t="s">
        <v>14</v>
      </c>
      <c r="D41" s="33" t="s">
        <v>438</v>
      </c>
      <c r="E41" s="22" t="s">
        <v>122</v>
      </c>
      <c r="F41" s="6">
        <v>0</v>
      </c>
    </row>
    <row r="42" spans="1:6" x14ac:dyDescent="0.35">
      <c r="A42" s="73">
        <v>15</v>
      </c>
      <c r="B42" s="7" t="s">
        <v>74</v>
      </c>
      <c r="C42" s="7" t="s">
        <v>15</v>
      </c>
      <c r="D42" s="30" t="s">
        <v>439</v>
      </c>
      <c r="E42" s="19" t="s">
        <v>122</v>
      </c>
      <c r="F42" s="7">
        <v>0</v>
      </c>
    </row>
    <row r="43" spans="1:6" x14ac:dyDescent="0.35">
      <c r="A43" s="73">
        <v>16</v>
      </c>
      <c r="B43" s="8" t="s">
        <v>77</v>
      </c>
      <c r="C43" s="8" t="s">
        <v>19</v>
      </c>
      <c r="D43" s="37" t="s">
        <v>440</v>
      </c>
      <c r="E43" s="25" t="s">
        <v>122</v>
      </c>
      <c r="F43" s="8">
        <v>0</v>
      </c>
    </row>
    <row r="44" spans="1:6" x14ac:dyDescent="0.35">
      <c r="A44" s="73">
        <v>17</v>
      </c>
      <c r="B44" s="8" t="s">
        <v>80</v>
      </c>
      <c r="C44" s="8" t="s">
        <v>19</v>
      </c>
      <c r="D44" s="37" t="s">
        <v>441</v>
      </c>
      <c r="E44" s="25" t="s">
        <v>122</v>
      </c>
      <c r="F44" s="8">
        <v>0</v>
      </c>
    </row>
    <row r="45" spans="1:6" x14ac:dyDescent="0.35">
      <c r="A45" s="73">
        <v>18</v>
      </c>
      <c r="B45" s="6" t="s">
        <v>78</v>
      </c>
      <c r="C45" s="6" t="s">
        <v>14</v>
      </c>
      <c r="D45" s="33" t="s">
        <v>442</v>
      </c>
      <c r="E45" s="22" t="s">
        <v>122</v>
      </c>
      <c r="F45" s="6">
        <v>0</v>
      </c>
    </row>
    <row r="46" spans="1:6" x14ac:dyDescent="0.35">
      <c r="A46" s="73">
        <v>19</v>
      </c>
      <c r="B46" s="11" t="s">
        <v>125</v>
      </c>
      <c r="C46" s="11" t="s">
        <v>17</v>
      </c>
      <c r="D46" s="36" t="s">
        <v>443</v>
      </c>
      <c r="E46" s="24" t="s">
        <v>122</v>
      </c>
      <c r="F46" s="11">
        <v>0</v>
      </c>
    </row>
    <row r="47" spans="1:6" x14ac:dyDescent="0.35">
      <c r="A47" s="73">
        <v>20</v>
      </c>
      <c r="B47" s="12" t="s">
        <v>69</v>
      </c>
      <c r="C47" s="12" t="s">
        <v>18</v>
      </c>
      <c r="D47" s="31" t="s">
        <v>444</v>
      </c>
      <c r="E47" s="20" t="s">
        <v>122</v>
      </c>
      <c r="F47" s="12">
        <v>0</v>
      </c>
    </row>
    <row r="48" spans="1:6" x14ac:dyDescent="0.35">
      <c r="A48" s="73">
        <v>21</v>
      </c>
      <c r="B48" s="9" t="s">
        <v>79</v>
      </c>
      <c r="C48" s="9" t="s">
        <v>20</v>
      </c>
      <c r="D48" s="35" t="s">
        <v>445</v>
      </c>
      <c r="E48" s="23" t="s">
        <v>124</v>
      </c>
      <c r="F48" s="9" t="s">
        <v>82</v>
      </c>
    </row>
    <row r="49" spans="1:6" x14ac:dyDescent="0.35">
      <c r="A49" s="73">
        <v>22</v>
      </c>
      <c r="B49" s="7" t="s">
        <v>66</v>
      </c>
      <c r="C49" s="7" t="s">
        <v>15</v>
      </c>
      <c r="D49" s="30" t="s">
        <v>446</v>
      </c>
      <c r="E49" s="19" t="s">
        <v>124</v>
      </c>
      <c r="F49" s="7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>SUMIF($C$28:$C$49,B53,$F$28:$F$49)</f>
        <v>44</v>
      </c>
    </row>
    <row r="54" spans="1:6" x14ac:dyDescent="0.35">
      <c r="A54" s="73">
        <v>2</v>
      </c>
      <c r="B54" s="3" t="s">
        <v>11</v>
      </c>
      <c r="C54" s="3">
        <f t="shared" ref="C54:C63" si="0">SUMIF($C$28:$C$48,B54,$F$28:$F$48)</f>
        <v>23</v>
      </c>
    </row>
    <row r="55" spans="1:6" x14ac:dyDescent="0.35">
      <c r="A55" s="73">
        <v>3</v>
      </c>
      <c r="B55" s="4" t="s">
        <v>12</v>
      </c>
      <c r="C55" s="4">
        <f t="shared" si="0"/>
        <v>18</v>
      </c>
    </row>
    <row r="56" spans="1:6" x14ac:dyDescent="0.35">
      <c r="A56" s="73">
        <v>4</v>
      </c>
      <c r="B56" s="5" t="s">
        <v>13</v>
      </c>
      <c r="C56" s="5">
        <f t="shared" si="0"/>
        <v>12</v>
      </c>
    </row>
    <row r="57" spans="1:6" x14ac:dyDescent="0.35">
      <c r="A57" s="73">
        <v>5</v>
      </c>
      <c r="B57" s="10" t="s">
        <v>16</v>
      </c>
      <c r="C57" s="10">
        <f t="shared" si="0"/>
        <v>4</v>
      </c>
    </row>
    <row r="58" spans="1:6" x14ac:dyDescent="0.35">
      <c r="A58" s="73">
        <v>6</v>
      </c>
      <c r="B58" s="12" t="s">
        <v>18</v>
      </c>
      <c r="C58" s="12">
        <f t="shared" si="0"/>
        <v>1</v>
      </c>
    </row>
    <row r="59" spans="1:6" x14ac:dyDescent="0.35">
      <c r="A59" s="73">
        <v>7</v>
      </c>
      <c r="B59" s="7" t="s">
        <v>15</v>
      </c>
      <c r="C59" s="7">
        <f t="shared" si="0"/>
        <v>0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3354-42DD-48EE-BB96-59B9DE298436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12" t="s">
        <v>67</v>
      </c>
      <c r="C3" s="12" t="s">
        <v>18</v>
      </c>
      <c r="D3" s="40"/>
    </row>
    <row r="4" spans="1:4" x14ac:dyDescent="0.35">
      <c r="A4" s="73">
        <v>2</v>
      </c>
      <c r="B4" s="3" t="s">
        <v>65</v>
      </c>
      <c r="C4" s="3" t="s">
        <v>11</v>
      </c>
      <c r="D4" s="40"/>
    </row>
    <row r="5" spans="1:4" x14ac:dyDescent="0.35">
      <c r="A5" s="73">
        <v>3</v>
      </c>
      <c r="B5" s="10" t="s">
        <v>73</v>
      </c>
      <c r="C5" s="10" t="s">
        <v>16</v>
      </c>
      <c r="D5" s="41"/>
    </row>
    <row r="6" spans="1:4" x14ac:dyDescent="0.35">
      <c r="A6" s="73">
        <v>4</v>
      </c>
      <c r="B6" s="7" t="s">
        <v>66</v>
      </c>
      <c r="C6" s="7" t="s">
        <v>15</v>
      </c>
      <c r="D6" s="41"/>
    </row>
    <row r="7" spans="1:4" x14ac:dyDescent="0.35">
      <c r="A7" s="73">
        <v>5</v>
      </c>
      <c r="B7" s="12" t="s">
        <v>69</v>
      </c>
      <c r="C7" s="12" t="s">
        <v>18</v>
      </c>
    </row>
    <row r="8" spans="1:4" x14ac:dyDescent="0.35">
      <c r="A8" s="73">
        <v>6</v>
      </c>
      <c r="B8" s="2" t="s">
        <v>63</v>
      </c>
      <c r="C8" s="2" t="s">
        <v>21</v>
      </c>
      <c r="D8" s="40"/>
    </row>
    <row r="9" spans="1:4" x14ac:dyDescent="0.35">
      <c r="A9" s="73">
        <v>7</v>
      </c>
      <c r="B9" s="5" t="s">
        <v>68</v>
      </c>
      <c r="C9" s="5" t="s">
        <v>13</v>
      </c>
    </row>
    <row r="10" spans="1:4" x14ac:dyDescent="0.35">
      <c r="A10" s="73">
        <v>8</v>
      </c>
      <c r="B10" s="4" t="s">
        <v>71</v>
      </c>
      <c r="C10" s="4" t="s">
        <v>12</v>
      </c>
      <c r="D10" s="40"/>
    </row>
    <row r="11" spans="1:4" x14ac:dyDescent="0.35">
      <c r="A11" s="73">
        <v>9</v>
      </c>
      <c r="B11" s="5" t="s">
        <v>62</v>
      </c>
      <c r="C11" s="5" t="s">
        <v>13</v>
      </c>
      <c r="D11" s="41"/>
    </row>
    <row r="12" spans="1:4" x14ac:dyDescent="0.35">
      <c r="A12" s="73">
        <v>10</v>
      </c>
      <c r="B12" s="6" t="s">
        <v>72</v>
      </c>
      <c r="C12" s="6" t="s">
        <v>14</v>
      </c>
      <c r="D12" s="41"/>
    </row>
    <row r="13" spans="1:4" x14ac:dyDescent="0.35">
      <c r="A13" s="73">
        <v>11</v>
      </c>
      <c r="B13" s="11" t="s">
        <v>76</v>
      </c>
      <c r="C13" s="11" t="s">
        <v>17</v>
      </c>
      <c r="D13" s="41"/>
    </row>
    <row r="14" spans="1:4" x14ac:dyDescent="0.35">
      <c r="A14" s="73">
        <v>12</v>
      </c>
      <c r="B14" s="10" t="s">
        <v>70</v>
      </c>
      <c r="C14" s="10" t="s">
        <v>16</v>
      </c>
      <c r="D14" s="41"/>
    </row>
    <row r="15" spans="1:4" x14ac:dyDescent="0.35">
      <c r="A15" s="73">
        <v>13</v>
      </c>
      <c r="B15" s="8" t="s">
        <v>77</v>
      </c>
      <c r="C15" s="8" t="s">
        <v>19</v>
      </c>
      <c r="D15" s="41"/>
    </row>
    <row r="16" spans="1:4" x14ac:dyDescent="0.35">
      <c r="A16" s="73">
        <v>14</v>
      </c>
      <c r="B16" s="11" t="s">
        <v>125</v>
      </c>
      <c r="C16" s="11" t="s">
        <v>17</v>
      </c>
      <c r="D16" s="40"/>
    </row>
    <row r="17" spans="1:6" x14ac:dyDescent="0.35">
      <c r="A17" s="73">
        <v>15</v>
      </c>
      <c r="B17" s="9" t="s">
        <v>75</v>
      </c>
      <c r="C17" s="9" t="s">
        <v>20</v>
      </c>
      <c r="D17" s="41"/>
    </row>
    <row r="18" spans="1:6" x14ac:dyDescent="0.35">
      <c r="A18" s="73">
        <v>16</v>
      </c>
      <c r="B18" s="8" t="s">
        <v>80</v>
      </c>
      <c r="C18" s="8" t="s">
        <v>19</v>
      </c>
      <c r="D18" s="40"/>
    </row>
    <row r="19" spans="1:6" x14ac:dyDescent="0.35">
      <c r="A19" s="73">
        <v>17</v>
      </c>
      <c r="B19" s="6" t="s">
        <v>78</v>
      </c>
      <c r="C19" s="6" t="s">
        <v>14</v>
      </c>
    </row>
    <row r="20" spans="1:6" x14ac:dyDescent="0.35">
      <c r="A20" s="73">
        <v>18</v>
      </c>
      <c r="B20" s="7" t="s">
        <v>74</v>
      </c>
      <c r="C20" s="7" t="s">
        <v>15</v>
      </c>
      <c r="D20" s="41"/>
    </row>
    <row r="21" spans="1:6" x14ac:dyDescent="0.35">
      <c r="A21" s="73">
        <v>19</v>
      </c>
      <c r="B21" s="9" t="s">
        <v>79</v>
      </c>
      <c r="C21" s="9" t="s">
        <v>20</v>
      </c>
      <c r="D21" s="41"/>
    </row>
    <row r="22" spans="1:6" x14ac:dyDescent="0.35">
      <c r="A22" s="73">
        <v>20</v>
      </c>
      <c r="B22" s="49" t="s">
        <v>81</v>
      </c>
      <c r="C22" s="49" t="s">
        <v>21</v>
      </c>
      <c r="D22" s="41"/>
    </row>
    <row r="23" spans="1:6" x14ac:dyDescent="0.35">
      <c r="A23" s="73">
        <v>21</v>
      </c>
      <c r="B23" s="3" t="s">
        <v>61</v>
      </c>
      <c r="C23" s="3" t="s">
        <v>11</v>
      </c>
      <c r="D23" s="40"/>
    </row>
    <row r="24" spans="1:6" x14ac:dyDescent="0.35">
      <c r="A24" s="73">
        <v>22</v>
      </c>
      <c r="B24" s="4" t="s">
        <v>64</v>
      </c>
      <c r="C24" s="4" t="s">
        <v>12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8" t="s">
        <v>472</v>
      </c>
      <c r="E28" s="17" t="s">
        <v>460</v>
      </c>
      <c r="F28" s="2">
        <v>25</v>
      </c>
    </row>
    <row r="29" spans="1:6" x14ac:dyDescent="0.35">
      <c r="A29" s="73">
        <v>2</v>
      </c>
      <c r="B29" s="3" t="s">
        <v>65</v>
      </c>
      <c r="C29" s="3" t="s">
        <v>11</v>
      </c>
      <c r="D29" s="26" t="s">
        <v>473</v>
      </c>
      <c r="E29" s="15" t="s">
        <v>461</v>
      </c>
      <c r="F29" s="3">
        <v>18</v>
      </c>
    </row>
    <row r="30" spans="1:6" x14ac:dyDescent="0.35">
      <c r="A30" s="73">
        <v>3</v>
      </c>
      <c r="B30" s="12" t="s">
        <v>67</v>
      </c>
      <c r="C30" s="12" t="s">
        <v>18</v>
      </c>
      <c r="D30" s="31" t="s">
        <v>474</v>
      </c>
      <c r="E30" s="20" t="s">
        <v>462</v>
      </c>
      <c r="F30" s="12">
        <v>15</v>
      </c>
    </row>
    <row r="31" spans="1:6" x14ac:dyDescent="0.35">
      <c r="A31" s="73">
        <v>4</v>
      </c>
      <c r="B31" s="2" t="s">
        <v>81</v>
      </c>
      <c r="C31" s="2" t="s">
        <v>21</v>
      </c>
      <c r="D31" s="28" t="s">
        <v>475</v>
      </c>
      <c r="E31" s="17" t="s">
        <v>463</v>
      </c>
      <c r="F31" s="2">
        <v>12</v>
      </c>
    </row>
    <row r="32" spans="1:6" x14ac:dyDescent="0.35">
      <c r="A32" s="73">
        <v>5</v>
      </c>
      <c r="B32" s="3" t="s">
        <v>61</v>
      </c>
      <c r="C32" s="3" t="s">
        <v>11</v>
      </c>
      <c r="D32" s="34" t="s">
        <v>459</v>
      </c>
      <c r="E32" s="15" t="s">
        <v>464</v>
      </c>
      <c r="F32" s="3">
        <v>11</v>
      </c>
    </row>
    <row r="33" spans="1:6" x14ac:dyDescent="0.35">
      <c r="A33" s="73">
        <v>6</v>
      </c>
      <c r="B33" s="5" t="s">
        <v>62</v>
      </c>
      <c r="C33" s="5" t="s">
        <v>13</v>
      </c>
      <c r="D33" s="27" t="s">
        <v>476</v>
      </c>
      <c r="E33" s="16" t="s">
        <v>465</v>
      </c>
      <c r="F33" s="5">
        <v>8</v>
      </c>
    </row>
    <row r="34" spans="1:6" x14ac:dyDescent="0.35">
      <c r="A34" s="73">
        <v>7</v>
      </c>
      <c r="B34" s="7" t="s">
        <v>66</v>
      </c>
      <c r="C34" s="7" t="s">
        <v>15</v>
      </c>
      <c r="D34" s="30" t="s">
        <v>477</v>
      </c>
      <c r="E34" s="19" t="s">
        <v>466</v>
      </c>
      <c r="F34" s="7">
        <v>6</v>
      </c>
    </row>
    <row r="35" spans="1:6" x14ac:dyDescent="0.35">
      <c r="A35" s="73">
        <v>8</v>
      </c>
      <c r="B35" s="5" t="s">
        <v>68</v>
      </c>
      <c r="C35" s="5" t="s">
        <v>13</v>
      </c>
      <c r="D35" s="27" t="s">
        <v>478</v>
      </c>
      <c r="E35" s="16" t="s">
        <v>467</v>
      </c>
      <c r="F35" s="5">
        <v>4</v>
      </c>
    </row>
    <row r="36" spans="1:6" x14ac:dyDescent="0.35">
      <c r="A36" s="73">
        <v>9</v>
      </c>
      <c r="B36" s="6" t="s">
        <v>72</v>
      </c>
      <c r="C36" s="6" t="s">
        <v>14</v>
      </c>
      <c r="D36" s="33" t="s">
        <v>479</v>
      </c>
      <c r="E36" s="22" t="s">
        <v>468</v>
      </c>
      <c r="F36" s="6">
        <v>2</v>
      </c>
    </row>
    <row r="37" spans="1:6" x14ac:dyDescent="0.35">
      <c r="A37" s="73">
        <v>10</v>
      </c>
      <c r="B37" s="4" t="s">
        <v>64</v>
      </c>
      <c r="C37" s="4" t="s">
        <v>12</v>
      </c>
      <c r="D37" s="29" t="s">
        <v>480</v>
      </c>
      <c r="E37" s="18" t="s">
        <v>469</v>
      </c>
      <c r="F37" s="4">
        <v>1</v>
      </c>
    </row>
    <row r="38" spans="1:6" x14ac:dyDescent="0.35">
      <c r="A38" s="73">
        <v>11</v>
      </c>
      <c r="B38" s="10" t="s">
        <v>73</v>
      </c>
      <c r="C38" s="10" t="s">
        <v>16</v>
      </c>
      <c r="D38" s="32" t="s">
        <v>481</v>
      </c>
      <c r="E38" s="21" t="s">
        <v>470</v>
      </c>
      <c r="F38" s="10">
        <v>0</v>
      </c>
    </row>
    <row r="39" spans="1:6" x14ac:dyDescent="0.35">
      <c r="A39" s="73">
        <v>12</v>
      </c>
      <c r="B39" s="10" t="s">
        <v>70</v>
      </c>
      <c r="C39" s="10" t="s">
        <v>16</v>
      </c>
      <c r="D39" s="32" t="s">
        <v>482</v>
      </c>
      <c r="E39" s="21" t="s">
        <v>471</v>
      </c>
      <c r="F39" s="10">
        <v>0</v>
      </c>
    </row>
    <row r="40" spans="1:6" x14ac:dyDescent="0.35">
      <c r="A40" s="73">
        <v>13</v>
      </c>
      <c r="B40" s="12" t="s">
        <v>69</v>
      </c>
      <c r="C40" s="12" t="s">
        <v>18</v>
      </c>
      <c r="D40" s="31" t="s">
        <v>487</v>
      </c>
      <c r="E40" s="20" t="s">
        <v>122</v>
      </c>
      <c r="F40" s="12">
        <v>0</v>
      </c>
    </row>
    <row r="41" spans="1:6" x14ac:dyDescent="0.35">
      <c r="A41" s="73">
        <v>14</v>
      </c>
      <c r="B41" s="9" t="s">
        <v>75</v>
      </c>
      <c r="C41" s="9" t="s">
        <v>20</v>
      </c>
      <c r="D41" s="35" t="s">
        <v>483</v>
      </c>
      <c r="E41" s="23" t="s">
        <v>122</v>
      </c>
      <c r="F41" s="9">
        <v>0</v>
      </c>
    </row>
    <row r="42" spans="1:6" x14ac:dyDescent="0.35">
      <c r="A42" s="73">
        <v>15</v>
      </c>
      <c r="B42" s="11" t="s">
        <v>76</v>
      </c>
      <c r="C42" s="11" t="s">
        <v>17</v>
      </c>
      <c r="D42" s="36" t="s">
        <v>488</v>
      </c>
      <c r="E42" s="24" t="s">
        <v>122</v>
      </c>
      <c r="F42" s="11">
        <v>0</v>
      </c>
    </row>
    <row r="43" spans="1:6" x14ac:dyDescent="0.35">
      <c r="A43" s="73">
        <v>16</v>
      </c>
      <c r="B43" s="8" t="s">
        <v>80</v>
      </c>
      <c r="C43" s="8" t="s">
        <v>19</v>
      </c>
      <c r="D43" s="37" t="s">
        <v>489</v>
      </c>
      <c r="E43" s="25" t="s">
        <v>122</v>
      </c>
      <c r="F43" s="8">
        <v>0</v>
      </c>
    </row>
    <row r="44" spans="1:6" x14ac:dyDescent="0.35">
      <c r="A44" s="73">
        <v>17</v>
      </c>
      <c r="B44" s="6" t="s">
        <v>78</v>
      </c>
      <c r="C44" s="6" t="s">
        <v>14</v>
      </c>
      <c r="D44" s="33" t="s">
        <v>484</v>
      </c>
      <c r="E44" s="22" t="s">
        <v>122</v>
      </c>
      <c r="F44" s="6">
        <v>0</v>
      </c>
    </row>
    <row r="45" spans="1:6" x14ac:dyDescent="0.35">
      <c r="A45" s="73">
        <v>18</v>
      </c>
      <c r="B45" s="8" t="s">
        <v>77</v>
      </c>
      <c r="C45" s="8" t="s">
        <v>19</v>
      </c>
      <c r="D45" s="37" t="s">
        <v>485</v>
      </c>
      <c r="E45" s="25" t="s">
        <v>122</v>
      </c>
      <c r="F45" s="8">
        <v>0</v>
      </c>
    </row>
    <row r="46" spans="1:6" x14ac:dyDescent="0.35">
      <c r="A46" s="73">
        <v>19</v>
      </c>
      <c r="B46" s="9" t="s">
        <v>79</v>
      </c>
      <c r="C46" s="9" t="s">
        <v>20</v>
      </c>
      <c r="D46" s="35" t="s">
        <v>486</v>
      </c>
      <c r="E46" s="23" t="s">
        <v>122</v>
      </c>
      <c r="F46" s="9">
        <v>0</v>
      </c>
    </row>
    <row r="47" spans="1:6" x14ac:dyDescent="0.35">
      <c r="A47" s="73">
        <v>20</v>
      </c>
      <c r="B47" s="7" t="s">
        <v>74</v>
      </c>
      <c r="C47" s="7" t="s">
        <v>15</v>
      </c>
      <c r="D47" s="30" t="s">
        <v>490</v>
      </c>
      <c r="E47" s="19" t="s">
        <v>122</v>
      </c>
      <c r="F47" s="7">
        <v>0</v>
      </c>
    </row>
    <row r="48" spans="1:6" x14ac:dyDescent="0.35">
      <c r="A48" s="73">
        <v>21</v>
      </c>
      <c r="B48" s="11" t="s">
        <v>125</v>
      </c>
      <c r="C48" s="11" t="s">
        <v>17</v>
      </c>
      <c r="D48" s="36" t="s">
        <v>491</v>
      </c>
      <c r="E48" s="24" t="s">
        <v>124</v>
      </c>
      <c r="F48" s="11" t="s">
        <v>82</v>
      </c>
    </row>
    <row r="49" spans="1:6" x14ac:dyDescent="0.35">
      <c r="A49" s="73">
        <v>22</v>
      </c>
      <c r="B49" s="4" t="s">
        <v>71</v>
      </c>
      <c r="C49" s="4" t="s">
        <v>12</v>
      </c>
      <c r="D49" s="29" t="s">
        <v>492</v>
      </c>
      <c r="E49" s="18" t="s">
        <v>124</v>
      </c>
      <c r="F49" s="4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>SUMIF($C$28:$C$49,B53,$F$28:$F$49)</f>
        <v>37</v>
      </c>
    </row>
    <row r="54" spans="1:6" x14ac:dyDescent="0.35">
      <c r="A54" s="73">
        <v>2</v>
      </c>
      <c r="B54" s="3" t="s">
        <v>11</v>
      </c>
      <c r="C54" s="3">
        <f t="shared" ref="C54:C63" si="0">SUMIF($C$28:$C$46,B54,$F$28:$F$46)</f>
        <v>29</v>
      </c>
    </row>
    <row r="55" spans="1:6" x14ac:dyDescent="0.35">
      <c r="A55" s="73">
        <v>3</v>
      </c>
      <c r="B55" s="12" t="s">
        <v>18</v>
      </c>
      <c r="C55" s="12">
        <f t="shared" si="0"/>
        <v>15</v>
      </c>
    </row>
    <row r="56" spans="1:6" x14ac:dyDescent="0.35">
      <c r="A56" s="73">
        <v>4</v>
      </c>
      <c r="B56" s="5" t="s">
        <v>13</v>
      </c>
      <c r="C56" s="5">
        <f t="shared" si="0"/>
        <v>12</v>
      </c>
    </row>
    <row r="57" spans="1:6" x14ac:dyDescent="0.35">
      <c r="A57" s="73">
        <v>5</v>
      </c>
      <c r="B57" s="7" t="s">
        <v>15</v>
      </c>
      <c r="C57" s="7">
        <f t="shared" si="0"/>
        <v>6</v>
      </c>
    </row>
    <row r="58" spans="1:6" x14ac:dyDescent="0.35">
      <c r="A58" s="73">
        <v>6</v>
      </c>
      <c r="B58" s="6" t="s">
        <v>14</v>
      </c>
      <c r="C58" s="6">
        <f t="shared" si="0"/>
        <v>2</v>
      </c>
    </row>
    <row r="59" spans="1:6" x14ac:dyDescent="0.35">
      <c r="A59" s="73">
        <v>7</v>
      </c>
      <c r="B59" s="4" t="s">
        <v>12</v>
      </c>
      <c r="C59" s="4">
        <f t="shared" si="0"/>
        <v>1</v>
      </c>
    </row>
    <row r="60" spans="1:6" x14ac:dyDescent="0.35">
      <c r="A60" s="73">
        <v>8</v>
      </c>
      <c r="B60" s="10" t="s">
        <v>16</v>
      </c>
      <c r="C60" s="10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B10F-E97F-41F2-9ECD-6C71DD3F4C40}">
  <dimension ref="A1:F63"/>
  <sheetViews>
    <sheetView topLeftCell="A31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3" t="s">
        <v>65</v>
      </c>
      <c r="C3" s="3" t="s">
        <v>11</v>
      </c>
      <c r="D3" s="40"/>
    </row>
    <row r="4" spans="1:4" x14ac:dyDescent="0.35">
      <c r="A4" s="73">
        <v>2</v>
      </c>
      <c r="B4" s="2" t="s">
        <v>63</v>
      </c>
      <c r="C4" s="2" t="s">
        <v>21</v>
      </c>
      <c r="D4" s="40"/>
    </row>
    <row r="5" spans="1:4" x14ac:dyDescent="0.35">
      <c r="A5" s="73">
        <v>3</v>
      </c>
      <c r="B5" s="4" t="s">
        <v>64</v>
      </c>
      <c r="C5" s="4" t="s">
        <v>12</v>
      </c>
      <c r="D5" s="41"/>
    </row>
    <row r="6" spans="1:4" x14ac:dyDescent="0.35">
      <c r="A6" s="73">
        <v>4</v>
      </c>
      <c r="B6" s="3" t="s">
        <v>61</v>
      </c>
      <c r="C6" s="3" t="s">
        <v>11</v>
      </c>
      <c r="D6" s="41"/>
    </row>
    <row r="7" spans="1:4" x14ac:dyDescent="0.35">
      <c r="A7" s="73">
        <v>5</v>
      </c>
      <c r="B7" s="5" t="s">
        <v>68</v>
      </c>
      <c r="C7" s="5" t="s">
        <v>13</v>
      </c>
    </row>
    <row r="8" spans="1:4" x14ac:dyDescent="0.35">
      <c r="A8" s="73">
        <v>6</v>
      </c>
      <c r="B8" s="49" t="s">
        <v>81</v>
      </c>
      <c r="C8" s="49" t="s">
        <v>21</v>
      </c>
      <c r="D8" s="40"/>
    </row>
    <row r="9" spans="1:4" x14ac:dyDescent="0.35">
      <c r="A9" s="73">
        <v>7</v>
      </c>
      <c r="B9" s="5" t="s">
        <v>62</v>
      </c>
      <c r="C9" s="5" t="s">
        <v>13</v>
      </c>
    </row>
    <row r="10" spans="1:4" x14ac:dyDescent="0.35">
      <c r="A10" s="73">
        <v>8</v>
      </c>
      <c r="B10" s="10" t="s">
        <v>70</v>
      </c>
      <c r="C10" s="10" t="s">
        <v>16</v>
      </c>
      <c r="D10" s="40"/>
    </row>
    <row r="11" spans="1:4" x14ac:dyDescent="0.35">
      <c r="A11" s="73">
        <v>9</v>
      </c>
      <c r="B11" s="10" t="s">
        <v>73</v>
      </c>
      <c r="C11" s="10" t="s">
        <v>16</v>
      </c>
      <c r="D11" s="41"/>
    </row>
    <row r="12" spans="1:4" x14ac:dyDescent="0.35">
      <c r="A12" s="73">
        <v>10</v>
      </c>
      <c r="B12" s="4" t="s">
        <v>71</v>
      </c>
      <c r="C12" s="4" t="s">
        <v>12</v>
      </c>
      <c r="D12" s="41"/>
    </row>
    <row r="13" spans="1:4" x14ac:dyDescent="0.35">
      <c r="A13" s="73">
        <v>11</v>
      </c>
      <c r="B13" s="12" t="s">
        <v>67</v>
      </c>
      <c r="C13" s="12" t="s">
        <v>18</v>
      </c>
      <c r="D13" s="41"/>
    </row>
    <row r="14" spans="1:4" x14ac:dyDescent="0.35">
      <c r="A14" s="73">
        <v>12</v>
      </c>
      <c r="B14" s="6" t="s">
        <v>72</v>
      </c>
      <c r="C14" s="6" t="s">
        <v>14</v>
      </c>
      <c r="D14" s="41"/>
    </row>
    <row r="15" spans="1:4" x14ac:dyDescent="0.35">
      <c r="A15" s="73">
        <v>13</v>
      </c>
      <c r="B15" s="7" t="s">
        <v>66</v>
      </c>
      <c r="C15" s="7" t="s">
        <v>15</v>
      </c>
      <c r="D15" s="41"/>
    </row>
    <row r="16" spans="1:4" x14ac:dyDescent="0.35">
      <c r="A16" s="73">
        <v>14</v>
      </c>
      <c r="B16" s="12" t="s">
        <v>69</v>
      </c>
      <c r="C16" s="12" t="s">
        <v>18</v>
      </c>
      <c r="D16" s="40"/>
    </row>
    <row r="17" spans="1:6" x14ac:dyDescent="0.35">
      <c r="A17" s="73">
        <v>15</v>
      </c>
      <c r="B17" s="9" t="s">
        <v>75</v>
      </c>
      <c r="C17" s="9" t="s">
        <v>20</v>
      </c>
      <c r="D17" s="41"/>
    </row>
    <row r="18" spans="1:6" x14ac:dyDescent="0.35">
      <c r="A18" s="73">
        <v>16</v>
      </c>
      <c r="B18" s="6" t="s">
        <v>78</v>
      </c>
      <c r="C18" s="6" t="s">
        <v>14</v>
      </c>
      <c r="D18" s="40"/>
    </row>
    <row r="19" spans="1:6" x14ac:dyDescent="0.35">
      <c r="A19" s="73">
        <v>17</v>
      </c>
      <c r="B19" s="8" t="s">
        <v>77</v>
      </c>
      <c r="C19" s="8" t="s">
        <v>19</v>
      </c>
    </row>
    <row r="20" spans="1:6" x14ac:dyDescent="0.35">
      <c r="A20" s="73">
        <v>18</v>
      </c>
      <c r="B20" s="11" t="s">
        <v>76</v>
      </c>
      <c r="C20" s="11" t="s">
        <v>17</v>
      </c>
      <c r="D20" s="41"/>
    </row>
    <row r="21" spans="1:6" x14ac:dyDescent="0.35">
      <c r="A21" s="73">
        <v>19</v>
      </c>
      <c r="B21" s="9" t="s">
        <v>79</v>
      </c>
      <c r="C21" s="9" t="s">
        <v>20</v>
      </c>
      <c r="D21" s="41"/>
    </row>
    <row r="22" spans="1:6" x14ac:dyDescent="0.35">
      <c r="A22" s="73">
        <v>20</v>
      </c>
      <c r="B22" s="7" t="s">
        <v>74</v>
      </c>
      <c r="C22" s="7" t="s">
        <v>15</v>
      </c>
      <c r="D22" s="41"/>
    </row>
    <row r="23" spans="1:6" x14ac:dyDescent="0.35">
      <c r="A23" s="73">
        <v>21</v>
      </c>
      <c r="B23" s="8" t="s">
        <v>80</v>
      </c>
      <c r="C23" s="8" t="s">
        <v>19</v>
      </c>
      <c r="D23" s="40"/>
    </row>
    <row r="24" spans="1:6" x14ac:dyDescent="0.35">
      <c r="A24" s="73">
        <v>22</v>
      </c>
      <c r="B24" s="71" t="s">
        <v>125</v>
      </c>
      <c r="C24" s="71" t="s">
        <v>17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" t="s">
        <v>493</v>
      </c>
      <c r="E28" s="17" t="s">
        <v>515</v>
      </c>
      <c r="F28" s="2">
        <v>25</v>
      </c>
    </row>
    <row r="29" spans="1:6" x14ac:dyDescent="0.35">
      <c r="A29" s="73">
        <v>2</v>
      </c>
      <c r="B29" s="3" t="s">
        <v>61</v>
      </c>
      <c r="C29" s="3" t="s">
        <v>11</v>
      </c>
      <c r="D29" s="3" t="s">
        <v>494</v>
      </c>
      <c r="E29" s="15" t="s">
        <v>516</v>
      </c>
      <c r="F29" s="3">
        <v>18</v>
      </c>
    </row>
    <row r="30" spans="1:6" x14ac:dyDescent="0.35">
      <c r="A30" s="73">
        <v>3</v>
      </c>
      <c r="B30" s="49" t="s">
        <v>81</v>
      </c>
      <c r="C30" s="49" t="s">
        <v>21</v>
      </c>
      <c r="D30" s="49" t="s">
        <v>495</v>
      </c>
      <c r="E30" s="52" t="s">
        <v>517</v>
      </c>
      <c r="F30" s="49">
        <v>15</v>
      </c>
    </row>
    <row r="31" spans="1:6" x14ac:dyDescent="0.35">
      <c r="A31" s="73">
        <v>4</v>
      </c>
      <c r="B31" s="4" t="s">
        <v>64</v>
      </c>
      <c r="C31" s="4" t="s">
        <v>12</v>
      </c>
      <c r="D31" s="4" t="s">
        <v>496</v>
      </c>
      <c r="E31" s="18" t="s">
        <v>518</v>
      </c>
      <c r="F31" s="4">
        <v>12</v>
      </c>
    </row>
    <row r="32" spans="1:6" x14ac:dyDescent="0.35">
      <c r="A32" s="73">
        <v>5</v>
      </c>
      <c r="B32" s="12" t="s">
        <v>67</v>
      </c>
      <c r="C32" s="12" t="s">
        <v>18</v>
      </c>
      <c r="D32" s="51" t="s">
        <v>497</v>
      </c>
      <c r="E32" s="20" t="s">
        <v>519</v>
      </c>
      <c r="F32" s="12">
        <v>11</v>
      </c>
    </row>
    <row r="33" spans="1:6" x14ac:dyDescent="0.35">
      <c r="A33" s="73">
        <v>6</v>
      </c>
      <c r="B33" s="5" t="s">
        <v>68</v>
      </c>
      <c r="C33" s="5" t="s">
        <v>13</v>
      </c>
      <c r="D33" s="5" t="s">
        <v>498</v>
      </c>
      <c r="E33" s="16" t="s">
        <v>520</v>
      </c>
      <c r="F33" s="5">
        <v>8</v>
      </c>
    </row>
    <row r="34" spans="1:6" x14ac:dyDescent="0.35">
      <c r="A34" s="73">
        <v>7</v>
      </c>
      <c r="B34" s="5" t="s">
        <v>62</v>
      </c>
      <c r="C34" s="5" t="s">
        <v>13</v>
      </c>
      <c r="D34" s="5" t="s">
        <v>499</v>
      </c>
      <c r="E34" s="16" t="s">
        <v>521</v>
      </c>
      <c r="F34" s="5">
        <v>6</v>
      </c>
    </row>
    <row r="35" spans="1:6" x14ac:dyDescent="0.35">
      <c r="A35" s="73">
        <v>8</v>
      </c>
      <c r="B35" s="3" t="s">
        <v>65</v>
      </c>
      <c r="C35" s="3" t="s">
        <v>11</v>
      </c>
      <c r="D35" s="3" t="s">
        <v>500</v>
      </c>
      <c r="E35" s="15" t="s">
        <v>522</v>
      </c>
      <c r="F35" s="3">
        <v>4</v>
      </c>
    </row>
    <row r="36" spans="1:6" x14ac:dyDescent="0.35">
      <c r="A36" s="73">
        <v>9</v>
      </c>
      <c r="B36" s="4" t="s">
        <v>71</v>
      </c>
      <c r="C36" s="4" t="s">
        <v>12</v>
      </c>
      <c r="D36" s="4" t="s">
        <v>501</v>
      </c>
      <c r="E36" s="18" t="s">
        <v>523</v>
      </c>
      <c r="F36" s="4">
        <v>2</v>
      </c>
    </row>
    <row r="37" spans="1:6" x14ac:dyDescent="0.35">
      <c r="A37" s="73">
        <v>10</v>
      </c>
      <c r="B37" s="10" t="s">
        <v>70</v>
      </c>
      <c r="C37" s="10" t="s">
        <v>16</v>
      </c>
      <c r="D37" s="10" t="s">
        <v>502</v>
      </c>
      <c r="E37" s="21" t="s">
        <v>524</v>
      </c>
      <c r="F37" s="10">
        <v>1</v>
      </c>
    </row>
    <row r="38" spans="1:6" x14ac:dyDescent="0.35">
      <c r="A38" s="73">
        <v>11</v>
      </c>
      <c r="B38" s="9" t="s">
        <v>75</v>
      </c>
      <c r="C38" s="9" t="s">
        <v>20</v>
      </c>
      <c r="D38" s="9" t="s">
        <v>503</v>
      </c>
      <c r="E38" s="23" t="s">
        <v>122</v>
      </c>
      <c r="F38" s="9">
        <v>0</v>
      </c>
    </row>
    <row r="39" spans="1:6" x14ac:dyDescent="0.35">
      <c r="A39" s="73">
        <v>12</v>
      </c>
      <c r="B39" s="6" t="s">
        <v>72</v>
      </c>
      <c r="C39" s="6" t="s">
        <v>14</v>
      </c>
      <c r="D39" s="6" t="s">
        <v>504</v>
      </c>
      <c r="E39" s="22" t="s">
        <v>122</v>
      </c>
      <c r="F39" s="6">
        <v>0</v>
      </c>
    </row>
    <row r="40" spans="1:6" x14ac:dyDescent="0.35">
      <c r="A40" s="73">
        <v>13</v>
      </c>
      <c r="B40" s="10" t="s">
        <v>73</v>
      </c>
      <c r="C40" s="10" t="s">
        <v>16</v>
      </c>
      <c r="D40" s="10" t="s">
        <v>505</v>
      </c>
      <c r="E40" s="21" t="s">
        <v>122</v>
      </c>
      <c r="F40" s="10">
        <v>0</v>
      </c>
    </row>
    <row r="41" spans="1:6" x14ac:dyDescent="0.35">
      <c r="A41" s="73">
        <v>14</v>
      </c>
      <c r="B41" s="7" t="s">
        <v>66</v>
      </c>
      <c r="C41" s="7" t="s">
        <v>15</v>
      </c>
      <c r="D41" s="7" t="s">
        <v>506</v>
      </c>
      <c r="E41" s="19" t="s">
        <v>122</v>
      </c>
      <c r="F41" s="7">
        <v>0</v>
      </c>
    </row>
    <row r="42" spans="1:6" x14ac:dyDescent="0.35">
      <c r="A42" s="73">
        <v>15</v>
      </c>
      <c r="B42" s="12" t="s">
        <v>69</v>
      </c>
      <c r="C42" s="12" t="s">
        <v>18</v>
      </c>
      <c r="D42" s="12" t="s">
        <v>507</v>
      </c>
      <c r="E42" s="20" t="s">
        <v>122</v>
      </c>
      <c r="F42" s="12">
        <v>0</v>
      </c>
    </row>
    <row r="43" spans="1:6" x14ac:dyDescent="0.35">
      <c r="A43" s="73">
        <v>16</v>
      </c>
      <c r="B43" s="8" t="s">
        <v>77</v>
      </c>
      <c r="C43" s="8" t="s">
        <v>19</v>
      </c>
      <c r="D43" s="8" t="s">
        <v>508</v>
      </c>
      <c r="E43" s="25" t="s">
        <v>122</v>
      </c>
      <c r="F43" s="8">
        <v>0</v>
      </c>
    </row>
    <row r="44" spans="1:6" x14ac:dyDescent="0.35">
      <c r="A44" s="73">
        <v>17</v>
      </c>
      <c r="B44" s="7" t="s">
        <v>74</v>
      </c>
      <c r="C44" s="7" t="s">
        <v>15</v>
      </c>
      <c r="D44" s="7" t="s">
        <v>509</v>
      </c>
      <c r="E44" s="19" t="s">
        <v>123</v>
      </c>
      <c r="F44" s="7">
        <v>0</v>
      </c>
    </row>
    <row r="45" spans="1:6" x14ac:dyDescent="0.35">
      <c r="A45" s="73">
        <v>18</v>
      </c>
      <c r="B45" s="8" t="s">
        <v>80</v>
      </c>
      <c r="C45" s="8" t="s">
        <v>19</v>
      </c>
      <c r="D45" s="8" t="s">
        <v>510</v>
      </c>
      <c r="E45" s="25" t="s">
        <v>123</v>
      </c>
      <c r="F45" s="8">
        <v>0</v>
      </c>
    </row>
    <row r="46" spans="1:6" x14ac:dyDescent="0.35">
      <c r="A46" s="73">
        <v>19</v>
      </c>
      <c r="B46" s="6" t="s">
        <v>78</v>
      </c>
      <c r="C46" s="6" t="s">
        <v>14</v>
      </c>
      <c r="D46" s="6" t="s">
        <v>511</v>
      </c>
      <c r="E46" s="22" t="s">
        <v>123</v>
      </c>
      <c r="F46" s="6">
        <v>0</v>
      </c>
    </row>
    <row r="47" spans="1:6" x14ac:dyDescent="0.35">
      <c r="A47" s="73">
        <v>20</v>
      </c>
      <c r="B47" s="9" t="s">
        <v>79</v>
      </c>
      <c r="C47" s="9" t="s">
        <v>20</v>
      </c>
      <c r="D47" s="9" t="s">
        <v>512</v>
      </c>
      <c r="E47" s="23" t="s">
        <v>123</v>
      </c>
      <c r="F47" s="9">
        <v>0</v>
      </c>
    </row>
    <row r="48" spans="1:6" x14ac:dyDescent="0.35">
      <c r="A48" s="73">
        <v>21</v>
      </c>
      <c r="B48" s="11" t="s">
        <v>125</v>
      </c>
      <c r="C48" s="11" t="s">
        <v>17</v>
      </c>
      <c r="D48" s="11" t="s">
        <v>513</v>
      </c>
      <c r="E48" s="24" t="s">
        <v>123</v>
      </c>
      <c r="F48" s="11">
        <v>0</v>
      </c>
    </row>
    <row r="49" spans="1:6" x14ac:dyDescent="0.35">
      <c r="A49" s="73">
        <v>22</v>
      </c>
      <c r="B49" s="11" t="s">
        <v>76</v>
      </c>
      <c r="C49" s="11" t="s">
        <v>17</v>
      </c>
      <c r="D49" s="11" t="s">
        <v>514</v>
      </c>
      <c r="E49" s="24" t="s">
        <v>124</v>
      </c>
      <c r="F49" s="11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 t="shared" ref="C53:C63" si="0">SUMIF($C$28:$C$48,B53,$F$28:$F$48)</f>
        <v>40</v>
      </c>
    </row>
    <row r="54" spans="1:6" x14ac:dyDescent="0.35">
      <c r="A54" s="73">
        <v>2</v>
      </c>
      <c r="B54" s="3" t="s">
        <v>11</v>
      </c>
      <c r="C54" s="3">
        <f t="shared" si="0"/>
        <v>22</v>
      </c>
    </row>
    <row r="55" spans="1:6" x14ac:dyDescent="0.35">
      <c r="A55" s="73">
        <v>3</v>
      </c>
      <c r="B55" s="4" t="s">
        <v>12</v>
      </c>
      <c r="C55" s="4">
        <f t="shared" si="0"/>
        <v>14</v>
      </c>
    </row>
    <row r="56" spans="1:6" x14ac:dyDescent="0.35">
      <c r="A56" s="73">
        <v>4</v>
      </c>
      <c r="B56" s="5" t="s">
        <v>13</v>
      </c>
      <c r="C56" s="5">
        <f t="shared" si="0"/>
        <v>14</v>
      </c>
    </row>
    <row r="57" spans="1:6" x14ac:dyDescent="0.35">
      <c r="A57" s="73">
        <v>5</v>
      </c>
      <c r="B57" s="12" t="s">
        <v>18</v>
      </c>
      <c r="C57" s="12">
        <f t="shared" si="0"/>
        <v>11</v>
      </c>
    </row>
    <row r="58" spans="1:6" x14ac:dyDescent="0.35">
      <c r="A58" s="73">
        <v>6</v>
      </c>
      <c r="B58" s="10" t="s">
        <v>16</v>
      </c>
      <c r="C58" s="10">
        <f t="shared" si="0"/>
        <v>1</v>
      </c>
    </row>
    <row r="59" spans="1:6" x14ac:dyDescent="0.35">
      <c r="A59" s="73">
        <v>7</v>
      </c>
      <c r="B59" s="7" t="s">
        <v>15</v>
      </c>
      <c r="C59" s="7">
        <f t="shared" si="0"/>
        <v>0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F77B-B212-4D15-ACAA-993CAC36F619}">
  <dimension ref="A1:F63"/>
  <sheetViews>
    <sheetView topLeftCell="A25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2" t="s">
        <v>63</v>
      </c>
      <c r="C3" s="2" t="s">
        <v>21</v>
      </c>
      <c r="D3" s="40"/>
    </row>
    <row r="4" spans="1:4" x14ac:dyDescent="0.35">
      <c r="A4" s="73">
        <v>2</v>
      </c>
      <c r="B4" s="3" t="s">
        <v>61</v>
      </c>
      <c r="C4" s="3" t="s">
        <v>11</v>
      </c>
      <c r="D4" s="40"/>
    </row>
    <row r="5" spans="1:4" x14ac:dyDescent="0.35">
      <c r="A5" s="73">
        <v>3</v>
      </c>
      <c r="B5" s="5" t="s">
        <v>68</v>
      </c>
      <c r="C5" s="5" t="s">
        <v>13</v>
      </c>
      <c r="D5" s="41"/>
    </row>
    <row r="6" spans="1:4" x14ac:dyDescent="0.35">
      <c r="A6" s="73">
        <v>4</v>
      </c>
      <c r="B6" s="2" t="s">
        <v>81</v>
      </c>
      <c r="C6" s="2" t="s">
        <v>21</v>
      </c>
      <c r="D6" s="41"/>
    </row>
    <row r="7" spans="1:4" x14ac:dyDescent="0.35">
      <c r="A7" s="73">
        <v>5</v>
      </c>
      <c r="B7" s="3" t="s">
        <v>65</v>
      </c>
      <c r="C7" s="3" t="s">
        <v>11</v>
      </c>
      <c r="D7" s="40"/>
    </row>
    <row r="8" spans="1:4" x14ac:dyDescent="0.35">
      <c r="A8" s="73">
        <v>6</v>
      </c>
      <c r="B8" s="5" t="s">
        <v>62</v>
      </c>
      <c r="C8" s="5" t="s">
        <v>13</v>
      </c>
      <c r="D8" s="40"/>
    </row>
    <row r="9" spans="1:4" x14ac:dyDescent="0.35">
      <c r="A9" s="73">
        <v>7</v>
      </c>
      <c r="B9" s="4" t="s">
        <v>64</v>
      </c>
      <c r="C9" s="4" t="s">
        <v>12</v>
      </c>
    </row>
    <row r="10" spans="1:4" x14ac:dyDescent="0.35">
      <c r="A10" s="73">
        <v>8</v>
      </c>
      <c r="B10" s="12" t="s">
        <v>67</v>
      </c>
      <c r="C10" s="12" t="s">
        <v>18</v>
      </c>
      <c r="D10" s="40"/>
    </row>
    <row r="11" spans="1:4" x14ac:dyDescent="0.35">
      <c r="A11" s="73">
        <v>9</v>
      </c>
      <c r="B11" s="10" t="s">
        <v>70</v>
      </c>
      <c r="C11" s="10" t="s">
        <v>16</v>
      </c>
      <c r="D11" s="41"/>
    </row>
    <row r="12" spans="1:4" x14ac:dyDescent="0.35">
      <c r="A12" s="73">
        <v>10</v>
      </c>
      <c r="B12" s="4" t="s">
        <v>71</v>
      </c>
      <c r="C12" s="4" t="s">
        <v>12</v>
      </c>
      <c r="D12" s="41"/>
    </row>
    <row r="13" spans="1:4" x14ac:dyDescent="0.35">
      <c r="A13" s="73">
        <v>11</v>
      </c>
      <c r="B13" s="7" t="s">
        <v>66</v>
      </c>
      <c r="C13" s="7" t="s">
        <v>15</v>
      </c>
      <c r="D13" s="41"/>
    </row>
    <row r="14" spans="1:4" x14ac:dyDescent="0.35">
      <c r="A14" s="73">
        <v>12</v>
      </c>
      <c r="B14" s="12" t="s">
        <v>69</v>
      </c>
      <c r="C14" s="12" t="s">
        <v>18</v>
      </c>
      <c r="D14" s="41"/>
    </row>
    <row r="15" spans="1:4" x14ac:dyDescent="0.35">
      <c r="A15" s="73">
        <v>13</v>
      </c>
      <c r="B15" s="6" t="s">
        <v>72</v>
      </c>
      <c r="C15" s="6" t="s">
        <v>14</v>
      </c>
      <c r="D15" s="41"/>
    </row>
    <row r="16" spans="1:4" x14ac:dyDescent="0.35">
      <c r="A16" s="73">
        <v>14</v>
      </c>
      <c r="B16" s="10" t="s">
        <v>73</v>
      </c>
      <c r="C16" s="10" t="s">
        <v>16</v>
      </c>
      <c r="D16" s="40"/>
    </row>
    <row r="17" spans="1:6" x14ac:dyDescent="0.35">
      <c r="A17" s="73">
        <v>15</v>
      </c>
      <c r="B17" s="6" t="s">
        <v>78</v>
      </c>
      <c r="C17" s="6" t="s">
        <v>14</v>
      </c>
      <c r="D17" s="41"/>
    </row>
    <row r="18" spans="1:6" x14ac:dyDescent="0.35">
      <c r="A18" s="73">
        <v>16</v>
      </c>
      <c r="B18" s="11" t="s">
        <v>76</v>
      </c>
      <c r="C18" s="11" t="s">
        <v>17</v>
      </c>
      <c r="D18" s="40"/>
    </row>
    <row r="19" spans="1:6" x14ac:dyDescent="0.35">
      <c r="A19" s="73">
        <v>17</v>
      </c>
      <c r="B19" s="9" t="s">
        <v>75</v>
      </c>
      <c r="C19" s="9" t="s">
        <v>20</v>
      </c>
    </row>
    <row r="20" spans="1:6" x14ac:dyDescent="0.35">
      <c r="A20" s="73">
        <v>18</v>
      </c>
      <c r="B20" s="7" t="s">
        <v>74</v>
      </c>
      <c r="C20" s="7" t="s">
        <v>15</v>
      </c>
      <c r="D20" s="41"/>
    </row>
    <row r="21" spans="1:6" x14ac:dyDescent="0.35">
      <c r="A21" s="73">
        <v>19</v>
      </c>
      <c r="B21" s="8" t="s">
        <v>80</v>
      </c>
      <c r="C21" s="8" t="s">
        <v>19</v>
      </c>
      <c r="D21" s="41"/>
    </row>
    <row r="22" spans="1:6" x14ac:dyDescent="0.35">
      <c r="A22" s="73">
        <v>20</v>
      </c>
      <c r="B22" s="11" t="s">
        <v>125</v>
      </c>
      <c r="C22" s="11" t="s">
        <v>17</v>
      </c>
      <c r="D22" s="41"/>
    </row>
    <row r="23" spans="1:6" x14ac:dyDescent="0.35">
      <c r="A23" s="73">
        <v>21</v>
      </c>
      <c r="B23" s="9" t="s">
        <v>79</v>
      </c>
      <c r="C23" s="9" t="s">
        <v>20</v>
      </c>
      <c r="D23" s="40"/>
    </row>
    <row r="24" spans="1:6" x14ac:dyDescent="0.35">
      <c r="A24" s="73">
        <v>22</v>
      </c>
      <c r="B24" s="8" t="s">
        <v>77</v>
      </c>
      <c r="C24" s="8" t="s">
        <v>19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38" t="s">
        <v>525</v>
      </c>
      <c r="E28" s="17" t="s">
        <v>546</v>
      </c>
      <c r="F28" s="2">
        <v>8</v>
      </c>
    </row>
    <row r="29" spans="1:6" x14ac:dyDescent="0.35">
      <c r="A29" s="73">
        <v>2</v>
      </c>
      <c r="B29" s="3" t="s">
        <v>61</v>
      </c>
      <c r="C29" s="3" t="s">
        <v>11</v>
      </c>
      <c r="D29" s="26" t="s">
        <v>526</v>
      </c>
      <c r="E29" s="15" t="s">
        <v>547</v>
      </c>
      <c r="F29" s="3">
        <v>7</v>
      </c>
    </row>
    <row r="30" spans="1:6" x14ac:dyDescent="0.35">
      <c r="A30" s="73">
        <v>3</v>
      </c>
      <c r="B30" s="3" t="s">
        <v>65</v>
      </c>
      <c r="C30" s="3" t="s">
        <v>11</v>
      </c>
      <c r="D30" s="26" t="s">
        <v>527</v>
      </c>
      <c r="E30" s="15" t="s">
        <v>548</v>
      </c>
      <c r="F30" s="3">
        <v>6</v>
      </c>
    </row>
    <row r="31" spans="1:6" x14ac:dyDescent="0.35">
      <c r="A31" s="73">
        <v>4</v>
      </c>
      <c r="B31" s="5" t="s">
        <v>68</v>
      </c>
      <c r="C31" s="5" t="s">
        <v>13</v>
      </c>
      <c r="D31" s="27" t="s">
        <v>528</v>
      </c>
      <c r="E31" s="16" t="s">
        <v>549</v>
      </c>
      <c r="F31" s="5">
        <v>5</v>
      </c>
    </row>
    <row r="32" spans="1:6" x14ac:dyDescent="0.35">
      <c r="A32" s="73">
        <v>5</v>
      </c>
      <c r="B32" s="2" t="s">
        <v>81</v>
      </c>
      <c r="C32" s="2" t="s">
        <v>21</v>
      </c>
      <c r="D32" s="28" t="s">
        <v>529</v>
      </c>
      <c r="E32" s="17" t="s">
        <v>550</v>
      </c>
      <c r="F32" s="2">
        <v>4</v>
      </c>
    </row>
    <row r="33" spans="1:6" x14ac:dyDescent="0.35">
      <c r="A33" s="73">
        <v>6</v>
      </c>
      <c r="B33" s="5" t="s">
        <v>62</v>
      </c>
      <c r="C33" s="5" t="s">
        <v>13</v>
      </c>
      <c r="D33" s="27" t="s">
        <v>530</v>
      </c>
      <c r="E33" s="16" t="s">
        <v>551</v>
      </c>
      <c r="F33" s="5">
        <v>3</v>
      </c>
    </row>
    <row r="34" spans="1:6" x14ac:dyDescent="0.35">
      <c r="A34" s="73">
        <v>7</v>
      </c>
      <c r="B34" s="12" t="s">
        <v>67</v>
      </c>
      <c r="C34" s="12" t="s">
        <v>18</v>
      </c>
      <c r="D34" s="31" t="s">
        <v>531</v>
      </c>
      <c r="E34" s="20" t="s">
        <v>552</v>
      </c>
      <c r="F34" s="12">
        <v>2</v>
      </c>
    </row>
    <row r="35" spans="1:6" x14ac:dyDescent="0.35">
      <c r="A35" s="73">
        <v>8</v>
      </c>
      <c r="B35" s="10" t="s">
        <v>70</v>
      </c>
      <c r="C35" s="10" t="s">
        <v>16</v>
      </c>
      <c r="D35" s="32" t="s">
        <v>532</v>
      </c>
      <c r="E35" s="21" t="s">
        <v>553</v>
      </c>
      <c r="F35" s="10">
        <v>1</v>
      </c>
    </row>
    <row r="36" spans="1:6" x14ac:dyDescent="0.35">
      <c r="A36" s="73">
        <v>9</v>
      </c>
      <c r="B36" s="4" t="s">
        <v>71</v>
      </c>
      <c r="C36" s="4" t="s">
        <v>12</v>
      </c>
      <c r="D36" s="29" t="s">
        <v>533</v>
      </c>
      <c r="E36" s="18" t="s">
        <v>554</v>
      </c>
      <c r="F36" s="4">
        <v>0</v>
      </c>
    </row>
    <row r="37" spans="1:6" x14ac:dyDescent="0.35">
      <c r="A37" s="73">
        <v>10</v>
      </c>
      <c r="B37" s="12" t="s">
        <v>69</v>
      </c>
      <c r="C37" s="12" t="s">
        <v>18</v>
      </c>
      <c r="D37" s="31" t="s">
        <v>534</v>
      </c>
      <c r="E37" s="20" t="s">
        <v>555</v>
      </c>
      <c r="F37" s="12">
        <v>0</v>
      </c>
    </row>
    <row r="38" spans="1:6" x14ac:dyDescent="0.35">
      <c r="A38" s="73">
        <v>11</v>
      </c>
      <c r="B38" s="6" t="s">
        <v>72</v>
      </c>
      <c r="C38" s="6" t="s">
        <v>14</v>
      </c>
      <c r="D38" s="33" t="s">
        <v>535</v>
      </c>
      <c r="E38" s="22" t="s">
        <v>556</v>
      </c>
      <c r="F38" s="6">
        <v>0</v>
      </c>
    </row>
    <row r="39" spans="1:6" x14ac:dyDescent="0.35">
      <c r="A39" s="73">
        <v>12</v>
      </c>
      <c r="B39" s="7" t="s">
        <v>66</v>
      </c>
      <c r="C39" s="7" t="s">
        <v>15</v>
      </c>
      <c r="D39" s="30" t="s">
        <v>536</v>
      </c>
      <c r="E39" s="19" t="s">
        <v>557</v>
      </c>
      <c r="F39" s="7">
        <v>0</v>
      </c>
    </row>
    <row r="40" spans="1:6" x14ac:dyDescent="0.35">
      <c r="A40" s="73">
        <v>13</v>
      </c>
      <c r="B40" s="10" t="s">
        <v>73</v>
      </c>
      <c r="C40" s="10" t="s">
        <v>16</v>
      </c>
      <c r="D40" s="32" t="s">
        <v>537</v>
      </c>
      <c r="E40" s="21" t="s">
        <v>558</v>
      </c>
      <c r="F40" s="10">
        <v>0</v>
      </c>
    </row>
    <row r="41" spans="1:6" x14ac:dyDescent="0.35">
      <c r="A41" s="73">
        <v>14</v>
      </c>
      <c r="B41" s="9" t="s">
        <v>75</v>
      </c>
      <c r="C41" s="9" t="s">
        <v>20</v>
      </c>
      <c r="D41" s="35" t="s">
        <v>538</v>
      </c>
      <c r="E41" s="23" t="s">
        <v>559</v>
      </c>
      <c r="F41" s="9">
        <v>0</v>
      </c>
    </row>
    <row r="42" spans="1:6" x14ac:dyDescent="0.35">
      <c r="A42" s="73">
        <v>15</v>
      </c>
      <c r="B42" s="4" t="s">
        <v>64</v>
      </c>
      <c r="C42" s="4" t="s">
        <v>12</v>
      </c>
      <c r="D42" s="29" t="s">
        <v>539</v>
      </c>
      <c r="E42" s="18" t="s">
        <v>560</v>
      </c>
      <c r="F42" s="4">
        <v>0</v>
      </c>
    </row>
    <row r="43" spans="1:6" x14ac:dyDescent="0.35">
      <c r="A43" s="73">
        <v>16</v>
      </c>
      <c r="B43" s="6" t="s">
        <v>78</v>
      </c>
      <c r="C43" s="6" t="s">
        <v>14</v>
      </c>
      <c r="D43" s="33" t="s">
        <v>540</v>
      </c>
      <c r="E43" s="22" t="s">
        <v>561</v>
      </c>
      <c r="F43" s="6">
        <v>0</v>
      </c>
    </row>
    <row r="44" spans="1:6" x14ac:dyDescent="0.35">
      <c r="A44" s="73">
        <v>17</v>
      </c>
      <c r="B44" s="8" t="s">
        <v>80</v>
      </c>
      <c r="C44" s="8" t="s">
        <v>19</v>
      </c>
      <c r="D44" s="37" t="s">
        <v>541</v>
      </c>
      <c r="E44" s="25" t="s">
        <v>562</v>
      </c>
      <c r="F44" s="8">
        <v>0</v>
      </c>
    </row>
    <row r="45" spans="1:6" x14ac:dyDescent="0.35">
      <c r="A45" s="73">
        <v>18</v>
      </c>
      <c r="B45" s="9" t="s">
        <v>79</v>
      </c>
      <c r="C45" s="9" t="s">
        <v>20</v>
      </c>
      <c r="D45" s="35" t="s">
        <v>542</v>
      </c>
      <c r="E45" s="23" t="s">
        <v>563</v>
      </c>
      <c r="F45" s="9">
        <v>0</v>
      </c>
    </row>
    <row r="46" spans="1:6" x14ac:dyDescent="0.35">
      <c r="A46" s="73">
        <v>19</v>
      </c>
      <c r="B46" s="8" t="s">
        <v>77</v>
      </c>
      <c r="C46" s="8" t="s">
        <v>19</v>
      </c>
      <c r="D46" s="37" t="s">
        <v>406</v>
      </c>
      <c r="E46" s="25" t="s">
        <v>564</v>
      </c>
      <c r="F46" s="8">
        <v>0</v>
      </c>
    </row>
    <row r="47" spans="1:6" x14ac:dyDescent="0.35">
      <c r="A47" s="73">
        <v>20</v>
      </c>
      <c r="B47" s="11" t="s">
        <v>76</v>
      </c>
      <c r="C47" s="11" t="s">
        <v>17</v>
      </c>
      <c r="D47" s="36" t="s">
        <v>543</v>
      </c>
      <c r="E47" s="24" t="s">
        <v>565</v>
      </c>
      <c r="F47" s="11">
        <v>0</v>
      </c>
    </row>
    <row r="48" spans="1:6" x14ac:dyDescent="0.35">
      <c r="A48" s="73">
        <v>21</v>
      </c>
      <c r="B48" s="11" t="s">
        <v>125</v>
      </c>
      <c r="C48" s="11" t="s">
        <v>17</v>
      </c>
      <c r="D48" s="36" t="s">
        <v>544</v>
      </c>
      <c r="E48" s="24" t="s">
        <v>566</v>
      </c>
      <c r="F48" s="11">
        <v>0</v>
      </c>
    </row>
    <row r="49" spans="1:6" x14ac:dyDescent="0.35">
      <c r="A49" s="73">
        <v>22</v>
      </c>
      <c r="B49" s="7" t="s">
        <v>74</v>
      </c>
      <c r="C49" s="7" t="s">
        <v>15</v>
      </c>
      <c r="D49" s="30" t="s">
        <v>545</v>
      </c>
      <c r="E49" s="19" t="s">
        <v>567</v>
      </c>
      <c r="F49" s="7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3" t="s">
        <v>11</v>
      </c>
      <c r="C53" s="3">
        <f t="shared" ref="C53:C63" si="0">SUMIF($C$28:$C$49,B53,$F$28:$F$49)</f>
        <v>13</v>
      </c>
    </row>
    <row r="54" spans="1:6" x14ac:dyDescent="0.35">
      <c r="A54" s="73">
        <v>2</v>
      </c>
      <c r="B54" s="2" t="s">
        <v>21</v>
      </c>
      <c r="C54" s="2">
        <f t="shared" si="0"/>
        <v>12</v>
      </c>
    </row>
    <row r="55" spans="1:6" x14ac:dyDescent="0.35">
      <c r="A55" s="73">
        <v>3</v>
      </c>
      <c r="B55" s="5" t="s">
        <v>13</v>
      </c>
      <c r="C55" s="5">
        <f t="shared" si="0"/>
        <v>8</v>
      </c>
    </row>
    <row r="56" spans="1:6" x14ac:dyDescent="0.35">
      <c r="A56" s="73">
        <v>4</v>
      </c>
      <c r="B56" s="12" t="s">
        <v>18</v>
      </c>
      <c r="C56" s="12">
        <f t="shared" si="0"/>
        <v>2</v>
      </c>
    </row>
    <row r="57" spans="1:6" x14ac:dyDescent="0.35">
      <c r="A57" s="73">
        <v>5</v>
      </c>
      <c r="B57" s="10" t="s">
        <v>16</v>
      </c>
      <c r="C57" s="10">
        <f t="shared" si="0"/>
        <v>1</v>
      </c>
    </row>
    <row r="58" spans="1:6" x14ac:dyDescent="0.35">
      <c r="A58" s="73">
        <v>6</v>
      </c>
      <c r="B58" s="7" t="s">
        <v>15</v>
      </c>
      <c r="C58" s="7">
        <f t="shared" si="0"/>
        <v>0</v>
      </c>
    </row>
    <row r="59" spans="1:6" x14ac:dyDescent="0.35">
      <c r="A59" s="73">
        <v>7</v>
      </c>
      <c r="B59" s="6" t="s">
        <v>14</v>
      </c>
      <c r="C59" s="6">
        <f t="shared" si="0"/>
        <v>0</v>
      </c>
    </row>
    <row r="60" spans="1:6" x14ac:dyDescent="0.35">
      <c r="A60" s="73">
        <v>8</v>
      </c>
      <c r="B60" s="4" t="s">
        <v>12</v>
      </c>
      <c r="C60" s="4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650E-F39B-49B0-8B29-7BB87B468214}">
  <dimension ref="A1:F63"/>
  <sheetViews>
    <sheetView topLeftCell="A31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2" t="s">
        <v>63</v>
      </c>
      <c r="C3" s="2" t="s">
        <v>21</v>
      </c>
      <c r="D3" s="40"/>
    </row>
    <row r="4" spans="1:4" x14ac:dyDescent="0.35">
      <c r="A4" s="73">
        <v>2</v>
      </c>
      <c r="B4" s="3" t="s">
        <v>61</v>
      </c>
      <c r="C4" s="3" t="s">
        <v>11</v>
      </c>
      <c r="D4" s="40"/>
    </row>
    <row r="5" spans="1:4" x14ac:dyDescent="0.35">
      <c r="A5" s="73">
        <v>3</v>
      </c>
      <c r="B5" s="3" t="s">
        <v>65</v>
      </c>
      <c r="C5" s="3" t="s">
        <v>11</v>
      </c>
      <c r="D5" s="41"/>
    </row>
    <row r="6" spans="1:4" x14ac:dyDescent="0.35">
      <c r="A6" s="73">
        <v>4</v>
      </c>
      <c r="B6" s="5" t="s">
        <v>62</v>
      </c>
      <c r="C6" s="5" t="s">
        <v>13</v>
      </c>
      <c r="D6" s="41"/>
    </row>
    <row r="7" spans="1:4" x14ac:dyDescent="0.35">
      <c r="A7" s="73">
        <v>5</v>
      </c>
      <c r="B7" s="5" t="s">
        <v>68</v>
      </c>
      <c r="C7" s="5" t="s">
        <v>13</v>
      </c>
    </row>
    <row r="8" spans="1:4" x14ac:dyDescent="0.35">
      <c r="A8" s="73">
        <v>6</v>
      </c>
      <c r="B8" s="49" t="s">
        <v>81</v>
      </c>
      <c r="C8" s="49" t="s">
        <v>21</v>
      </c>
      <c r="D8" s="40"/>
    </row>
    <row r="9" spans="1:4" x14ac:dyDescent="0.35">
      <c r="A9" s="73">
        <v>7</v>
      </c>
      <c r="B9" s="4" t="s">
        <v>71</v>
      </c>
      <c r="C9" s="4" t="s">
        <v>12</v>
      </c>
    </row>
    <row r="10" spans="1:4" x14ac:dyDescent="0.35">
      <c r="A10" s="73">
        <v>8</v>
      </c>
      <c r="B10" s="4" t="s">
        <v>64</v>
      </c>
      <c r="C10" s="4" t="s">
        <v>12</v>
      </c>
      <c r="D10" s="40"/>
    </row>
    <row r="11" spans="1:4" x14ac:dyDescent="0.35">
      <c r="A11" s="73">
        <v>9</v>
      </c>
      <c r="B11" s="12" t="s">
        <v>67</v>
      </c>
      <c r="C11" s="12" t="s">
        <v>18</v>
      </c>
      <c r="D11" s="41"/>
    </row>
    <row r="12" spans="1:4" x14ac:dyDescent="0.35">
      <c r="A12" s="73">
        <v>10</v>
      </c>
      <c r="B12" s="10" t="s">
        <v>73</v>
      </c>
      <c r="C12" s="10" t="s">
        <v>16</v>
      </c>
      <c r="D12" s="41"/>
    </row>
    <row r="13" spans="1:4" x14ac:dyDescent="0.35">
      <c r="A13" s="73">
        <v>11</v>
      </c>
      <c r="B13" s="6" t="s">
        <v>72</v>
      </c>
      <c r="C13" s="6" t="s">
        <v>14</v>
      </c>
      <c r="D13" s="41"/>
    </row>
    <row r="14" spans="1:4" x14ac:dyDescent="0.35">
      <c r="A14" s="73">
        <v>12</v>
      </c>
      <c r="B14" s="10" t="s">
        <v>70</v>
      </c>
      <c r="C14" s="10" t="s">
        <v>16</v>
      </c>
      <c r="D14" s="41"/>
    </row>
    <row r="15" spans="1:4" x14ac:dyDescent="0.35">
      <c r="A15" s="73">
        <v>13</v>
      </c>
      <c r="B15" s="12" t="s">
        <v>69</v>
      </c>
      <c r="C15" s="12" t="s">
        <v>18</v>
      </c>
      <c r="D15" s="41"/>
    </row>
    <row r="16" spans="1:4" x14ac:dyDescent="0.35">
      <c r="A16" s="73">
        <v>14</v>
      </c>
      <c r="B16" s="7" t="s">
        <v>66</v>
      </c>
      <c r="C16" s="7" t="s">
        <v>15</v>
      </c>
      <c r="D16" s="40"/>
    </row>
    <row r="17" spans="1:6" x14ac:dyDescent="0.35">
      <c r="A17" s="73">
        <v>15</v>
      </c>
      <c r="B17" s="9" t="s">
        <v>75</v>
      </c>
      <c r="C17" s="9" t="s">
        <v>20</v>
      </c>
      <c r="D17" s="41"/>
    </row>
    <row r="18" spans="1:6" x14ac:dyDescent="0.35">
      <c r="A18" s="73">
        <v>16</v>
      </c>
      <c r="B18" s="7" t="s">
        <v>74</v>
      </c>
      <c r="C18" s="7" t="s">
        <v>15</v>
      </c>
      <c r="D18" s="40"/>
    </row>
    <row r="19" spans="1:6" x14ac:dyDescent="0.35">
      <c r="A19" s="73">
        <v>17</v>
      </c>
      <c r="B19" s="6" t="s">
        <v>78</v>
      </c>
      <c r="C19" s="6" t="s">
        <v>14</v>
      </c>
    </row>
    <row r="20" spans="1:6" x14ac:dyDescent="0.35">
      <c r="A20" s="73">
        <v>18</v>
      </c>
      <c r="B20" s="9" t="s">
        <v>79</v>
      </c>
      <c r="C20" s="9" t="s">
        <v>20</v>
      </c>
      <c r="D20" s="41"/>
    </row>
    <row r="21" spans="1:6" x14ac:dyDescent="0.35">
      <c r="A21" s="73">
        <v>19</v>
      </c>
      <c r="B21" s="8" t="s">
        <v>80</v>
      </c>
      <c r="C21" s="8" t="s">
        <v>19</v>
      </c>
      <c r="D21" s="41"/>
    </row>
    <row r="22" spans="1:6" x14ac:dyDescent="0.35">
      <c r="A22" s="73">
        <v>20</v>
      </c>
      <c r="B22" s="8" t="s">
        <v>77</v>
      </c>
      <c r="C22" s="8" t="s">
        <v>19</v>
      </c>
      <c r="D22" s="41"/>
    </row>
    <row r="23" spans="1:6" x14ac:dyDescent="0.35">
      <c r="A23" s="73">
        <v>21</v>
      </c>
      <c r="B23" s="11" t="s">
        <v>76</v>
      </c>
      <c r="C23" s="11" t="s">
        <v>17</v>
      </c>
      <c r="D23" s="40"/>
    </row>
    <row r="24" spans="1:6" x14ac:dyDescent="0.35">
      <c r="A24" s="73">
        <v>22</v>
      </c>
      <c r="B24" s="11" t="s">
        <v>125</v>
      </c>
      <c r="C24" s="11" t="s">
        <v>17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" t="s">
        <v>570</v>
      </c>
      <c r="E28" s="17" t="s">
        <v>591</v>
      </c>
      <c r="F28" s="2">
        <v>25</v>
      </c>
    </row>
    <row r="29" spans="1:6" x14ac:dyDescent="0.35">
      <c r="A29" s="73">
        <v>2</v>
      </c>
      <c r="B29" s="3" t="s">
        <v>61</v>
      </c>
      <c r="C29" s="3" t="s">
        <v>11</v>
      </c>
      <c r="D29" s="3" t="s">
        <v>571</v>
      </c>
      <c r="E29" s="15" t="s">
        <v>592</v>
      </c>
      <c r="F29" s="3">
        <v>18</v>
      </c>
    </row>
    <row r="30" spans="1:6" x14ac:dyDescent="0.35">
      <c r="A30" s="73">
        <v>3</v>
      </c>
      <c r="B30" s="4" t="s">
        <v>64</v>
      </c>
      <c r="C30" s="4" t="s">
        <v>12</v>
      </c>
      <c r="D30" s="4" t="s">
        <v>572</v>
      </c>
      <c r="E30" s="18" t="s">
        <v>593</v>
      </c>
      <c r="F30" s="4">
        <v>15</v>
      </c>
    </row>
    <row r="31" spans="1:6" x14ac:dyDescent="0.35">
      <c r="A31" s="73">
        <v>4</v>
      </c>
      <c r="B31" s="5" t="s">
        <v>62</v>
      </c>
      <c r="C31" s="5" t="s">
        <v>13</v>
      </c>
      <c r="D31" s="50" t="s">
        <v>573</v>
      </c>
      <c r="E31" s="16" t="s">
        <v>594</v>
      </c>
      <c r="F31" s="5">
        <v>13</v>
      </c>
    </row>
    <row r="32" spans="1:6" x14ac:dyDescent="0.35">
      <c r="A32" s="73">
        <v>5</v>
      </c>
      <c r="B32" s="3" t="s">
        <v>65</v>
      </c>
      <c r="C32" s="3" t="s">
        <v>11</v>
      </c>
      <c r="D32" s="3" t="s">
        <v>574</v>
      </c>
      <c r="E32" s="15" t="s">
        <v>595</v>
      </c>
      <c r="F32" s="3">
        <v>10</v>
      </c>
    </row>
    <row r="33" spans="1:6" x14ac:dyDescent="0.35">
      <c r="A33" s="73">
        <v>6</v>
      </c>
      <c r="B33" s="4" t="s">
        <v>71</v>
      </c>
      <c r="C33" s="4" t="s">
        <v>12</v>
      </c>
      <c r="D33" s="4" t="s">
        <v>575</v>
      </c>
      <c r="E33" s="18" t="s">
        <v>596</v>
      </c>
      <c r="F33" s="4">
        <v>8</v>
      </c>
    </row>
    <row r="34" spans="1:6" x14ac:dyDescent="0.35">
      <c r="A34" s="73">
        <v>7</v>
      </c>
      <c r="B34" s="10" t="s">
        <v>73</v>
      </c>
      <c r="C34" s="10" t="s">
        <v>16</v>
      </c>
      <c r="D34" s="10" t="s">
        <v>576</v>
      </c>
      <c r="E34" s="21" t="s">
        <v>597</v>
      </c>
      <c r="F34" s="10">
        <v>6</v>
      </c>
    </row>
    <row r="35" spans="1:6" x14ac:dyDescent="0.35">
      <c r="A35" s="73">
        <v>8</v>
      </c>
      <c r="B35" s="5" t="s">
        <v>68</v>
      </c>
      <c r="C35" s="5" t="s">
        <v>13</v>
      </c>
      <c r="D35" s="5" t="s">
        <v>577</v>
      </c>
      <c r="E35" s="16" t="s">
        <v>122</v>
      </c>
      <c r="F35" s="5">
        <v>4</v>
      </c>
    </row>
    <row r="36" spans="1:6" x14ac:dyDescent="0.35">
      <c r="A36" s="73">
        <v>9</v>
      </c>
      <c r="B36" s="12" t="s">
        <v>67</v>
      </c>
      <c r="C36" s="12" t="s">
        <v>18</v>
      </c>
      <c r="D36" s="12" t="s">
        <v>578</v>
      </c>
      <c r="E36" s="20" t="s">
        <v>122</v>
      </c>
      <c r="F36" s="12">
        <v>2</v>
      </c>
    </row>
    <row r="37" spans="1:6" x14ac:dyDescent="0.35">
      <c r="A37" s="73">
        <v>10</v>
      </c>
      <c r="B37" s="6" t="s">
        <v>72</v>
      </c>
      <c r="C37" s="6" t="s">
        <v>14</v>
      </c>
      <c r="D37" s="6" t="s">
        <v>579</v>
      </c>
      <c r="E37" s="22" t="s">
        <v>122</v>
      </c>
      <c r="F37" s="6">
        <v>1</v>
      </c>
    </row>
    <row r="38" spans="1:6" x14ac:dyDescent="0.35">
      <c r="A38" s="73">
        <v>11</v>
      </c>
      <c r="B38" s="10" t="s">
        <v>70</v>
      </c>
      <c r="C38" s="10" t="s">
        <v>16</v>
      </c>
      <c r="D38" s="10" t="s">
        <v>580</v>
      </c>
      <c r="E38" s="21" t="s">
        <v>122</v>
      </c>
      <c r="F38" s="10">
        <v>0</v>
      </c>
    </row>
    <row r="39" spans="1:6" x14ac:dyDescent="0.35">
      <c r="A39" s="73">
        <v>12</v>
      </c>
      <c r="B39" s="12" t="s">
        <v>69</v>
      </c>
      <c r="C39" s="12" t="s">
        <v>18</v>
      </c>
      <c r="D39" s="12" t="s">
        <v>581</v>
      </c>
      <c r="E39" s="20" t="s">
        <v>122</v>
      </c>
      <c r="F39" s="12">
        <v>0</v>
      </c>
    </row>
    <row r="40" spans="1:6" x14ac:dyDescent="0.35">
      <c r="A40" s="73">
        <v>13</v>
      </c>
      <c r="B40" s="7" t="s">
        <v>66</v>
      </c>
      <c r="C40" s="7" t="s">
        <v>15</v>
      </c>
      <c r="D40" s="7" t="s">
        <v>582</v>
      </c>
      <c r="E40" s="19" t="s">
        <v>122</v>
      </c>
      <c r="F40" s="7">
        <v>0</v>
      </c>
    </row>
    <row r="41" spans="1:6" x14ac:dyDescent="0.35">
      <c r="A41" s="73">
        <v>14</v>
      </c>
      <c r="B41" s="8" t="s">
        <v>80</v>
      </c>
      <c r="C41" s="8" t="s">
        <v>19</v>
      </c>
      <c r="D41" s="8" t="s">
        <v>583</v>
      </c>
      <c r="E41" s="25" t="s">
        <v>123</v>
      </c>
      <c r="F41" s="8">
        <v>0</v>
      </c>
    </row>
    <row r="42" spans="1:6" x14ac:dyDescent="0.35">
      <c r="A42" s="73">
        <v>15</v>
      </c>
      <c r="B42" s="9" t="s">
        <v>79</v>
      </c>
      <c r="C42" s="9" t="s">
        <v>20</v>
      </c>
      <c r="D42" s="9" t="s">
        <v>584</v>
      </c>
      <c r="E42" s="23" t="s">
        <v>123</v>
      </c>
      <c r="F42" s="9">
        <v>0</v>
      </c>
    </row>
    <row r="43" spans="1:6" x14ac:dyDescent="0.35">
      <c r="A43" s="73">
        <v>16</v>
      </c>
      <c r="B43" s="9" t="s">
        <v>75</v>
      </c>
      <c r="C43" s="9" t="s">
        <v>20</v>
      </c>
      <c r="D43" s="9" t="s">
        <v>585</v>
      </c>
      <c r="E43" s="23" t="s">
        <v>123</v>
      </c>
      <c r="F43" s="9">
        <v>0</v>
      </c>
    </row>
    <row r="44" spans="1:6" x14ac:dyDescent="0.35">
      <c r="A44" s="73">
        <v>17</v>
      </c>
      <c r="B44" s="11" t="s">
        <v>76</v>
      </c>
      <c r="C44" s="11" t="s">
        <v>17</v>
      </c>
      <c r="D44" s="11" t="s">
        <v>586</v>
      </c>
      <c r="E44" s="24" t="s">
        <v>123</v>
      </c>
      <c r="F44" s="11">
        <v>0</v>
      </c>
    </row>
    <row r="45" spans="1:6" x14ac:dyDescent="0.35">
      <c r="A45" s="73">
        <v>18</v>
      </c>
      <c r="B45" s="7" t="s">
        <v>74</v>
      </c>
      <c r="C45" s="7" t="s">
        <v>15</v>
      </c>
      <c r="D45" s="7" t="s">
        <v>587</v>
      </c>
      <c r="E45" s="19" t="s">
        <v>123</v>
      </c>
      <c r="F45" s="7">
        <v>0</v>
      </c>
    </row>
    <row r="46" spans="1:6" x14ac:dyDescent="0.35">
      <c r="A46" s="73">
        <v>19</v>
      </c>
      <c r="B46" s="11" t="s">
        <v>125</v>
      </c>
      <c r="C46" s="11" t="s">
        <v>17</v>
      </c>
      <c r="D46" s="11" t="s">
        <v>588</v>
      </c>
      <c r="E46" s="24" t="s">
        <v>590</v>
      </c>
      <c r="F46" s="11">
        <v>0</v>
      </c>
    </row>
    <row r="47" spans="1:6" x14ac:dyDescent="0.35">
      <c r="A47" s="73">
        <v>20</v>
      </c>
      <c r="B47" s="8" t="s">
        <v>77</v>
      </c>
      <c r="C47" s="8" t="s">
        <v>19</v>
      </c>
      <c r="D47" s="8" t="s">
        <v>589</v>
      </c>
      <c r="E47" s="25" t="s">
        <v>590</v>
      </c>
      <c r="F47" s="8">
        <v>0</v>
      </c>
    </row>
    <row r="48" spans="1:6" x14ac:dyDescent="0.35">
      <c r="A48" s="73">
        <v>21</v>
      </c>
      <c r="B48" s="6" t="s">
        <v>78</v>
      </c>
      <c r="C48" s="6" t="s">
        <v>14</v>
      </c>
      <c r="D48" s="6" t="s">
        <v>568</v>
      </c>
      <c r="E48" s="22" t="s">
        <v>124</v>
      </c>
      <c r="F48" s="6" t="s">
        <v>82</v>
      </c>
    </row>
    <row r="49" spans="1:6" x14ac:dyDescent="0.35">
      <c r="A49" s="73">
        <v>22</v>
      </c>
      <c r="B49" s="49" t="s">
        <v>81</v>
      </c>
      <c r="C49" s="49" t="s">
        <v>21</v>
      </c>
      <c r="D49" s="49" t="s">
        <v>569</v>
      </c>
      <c r="E49" s="52" t="s">
        <v>124</v>
      </c>
      <c r="F49" s="49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3" t="s">
        <v>11</v>
      </c>
      <c r="C53" s="3">
        <f t="shared" ref="C53:C63" si="0">SUMIF($C$28:$C$49,B53,$F$28:$F$49)</f>
        <v>28</v>
      </c>
    </row>
    <row r="54" spans="1:6" x14ac:dyDescent="0.35">
      <c r="A54" s="73">
        <v>2</v>
      </c>
      <c r="B54" s="2" t="s">
        <v>21</v>
      </c>
      <c r="C54" s="2">
        <f t="shared" si="0"/>
        <v>25</v>
      </c>
    </row>
    <row r="55" spans="1:6" x14ac:dyDescent="0.35">
      <c r="A55" s="73">
        <v>3</v>
      </c>
      <c r="B55" s="4" t="s">
        <v>12</v>
      </c>
      <c r="C55" s="4">
        <f t="shared" si="0"/>
        <v>23</v>
      </c>
    </row>
    <row r="56" spans="1:6" x14ac:dyDescent="0.35">
      <c r="A56" s="73">
        <v>4</v>
      </c>
      <c r="B56" s="5" t="s">
        <v>13</v>
      </c>
      <c r="C56" s="5">
        <f t="shared" si="0"/>
        <v>17</v>
      </c>
    </row>
    <row r="57" spans="1:6" x14ac:dyDescent="0.35">
      <c r="A57" s="73">
        <v>5</v>
      </c>
      <c r="B57" s="10" t="s">
        <v>16</v>
      </c>
      <c r="C57" s="10">
        <f t="shared" si="0"/>
        <v>6</v>
      </c>
    </row>
    <row r="58" spans="1:6" x14ac:dyDescent="0.35">
      <c r="A58" s="73">
        <v>6</v>
      </c>
      <c r="B58" s="12" t="s">
        <v>18</v>
      </c>
      <c r="C58" s="12">
        <f t="shared" si="0"/>
        <v>2</v>
      </c>
    </row>
    <row r="59" spans="1:6" x14ac:dyDescent="0.35">
      <c r="A59" s="73">
        <v>7</v>
      </c>
      <c r="B59" s="6" t="s">
        <v>14</v>
      </c>
      <c r="C59" s="6">
        <f t="shared" si="0"/>
        <v>1</v>
      </c>
    </row>
    <row r="60" spans="1:6" x14ac:dyDescent="0.35">
      <c r="A60" s="73">
        <v>8</v>
      </c>
      <c r="B60" s="7" t="s">
        <v>15</v>
      </c>
      <c r="C60" s="7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46ED-D745-4947-8D83-563F3182B19C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2" t="s">
        <v>63</v>
      </c>
      <c r="C3" s="2" t="s">
        <v>21</v>
      </c>
      <c r="D3" s="40"/>
    </row>
    <row r="4" spans="1:4" x14ac:dyDescent="0.35">
      <c r="A4" s="73">
        <v>2</v>
      </c>
      <c r="B4" s="3" t="s">
        <v>61</v>
      </c>
      <c r="C4" s="3" t="s">
        <v>11</v>
      </c>
      <c r="D4" s="40"/>
    </row>
    <row r="5" spans="1:4" x14ac:dyDescent="0.35">
      <c r="A5" s="73">
        <v>3</v>
      </c>
      <c r="B5" s="3" t="s">
        <v>65</v>
      </c>
      <c r="C5" s="3" t="s">
        <v>11</v>
      </c>
      <c r="D5" s="41"/>
    </row>
    <row r="6" spans="1:4" x14ac:dyDescent="0.35">
      <c r="A6" s="73">
        <v>4</v>
      </c>
      <c r="B6" s="53" t="s">
        <v>81</v>
      </c>
      <c r="C6" s="53" t="s">
        <v>21</v>
      </c>
      <c r="D6" s="41"/>
    </row>
    <row r="7" spans="1:4" x14ac:dyDescent="0.35">
      <c r="A7" s="73">
        <v>5</v>
      </c>
      <c r="B7" s="4" t="s">
        <v>71</v>
      </c>
      <c r="C7" s="4" t="s">
        <v>12</v>
      </c>
    </row>
    <row r="8" spans="1:4" x14ac:dyDescent="0.35">
      <c r="A8" s="73">
        <v>6</v>
      </c>
      <c r="B8" s="5" t="s">
        <v>62</v>
      </c>
      <c r="C8" s="5" t="s">
        <v>13</v>
      </c>
      <c r="D8" s="40"/>
    </row>
    <row r="9" spans="1:4" x14ac:dyDescent="0.35">
      <c r="A9" s="73">
        <v>7</v>
      </c>
      <c r="B9" s="12" t="s">
        <v>67</v>
      </c>
      <c r="C9" s="12" t="s">
        <v>18</v>
      </c>
    </row>
    <row r="10" spans="1:4" x14ac:dyDescent="0.35">
      <c r="A10" s="73">
        <v>8</v>
      </c>
      <c r="B10" s="4" t="s">
        <v>64</v>
      </c>
      <c r="C10" s="4" t="s">
        <v>12</v>
      </c>
      <c r="D10" s="40"/>
    </row>
    <row r="11" spans="1:4" x14ac:dyDescent="0.35">
      <c r="A11" s="73">
        <v>9</v>
      </c>
      <c r="B11" s="5" t="s">
        <v>68</v>
      </c>
      <c r="C11" s="5" t="s">
        <v>13</v>
      </c>
      <c r="D11" s="41"/>
    </row>
    <row r="12" spans="1:4" x14ac:dyDescent="0.35">
      <c r="A12" s="73">
        <v>10</v>
      </c>
      <c r="B12" s="12" t="s">
        <v>69</v>
      </c>
      <c r="C12" s="12" t="s">
        <v>18</v>
      </c>
      <c r="D12" s="41"/>
    </row>
    <row r="13" spans="1:4" x14ac:dyDescent="0.35">
      <c r="A13" s="73">
        <v>11</v>
      </c>
      <c r="B13" s="7" t="s">
        <v>66</v>
      </c>
      <c r="C13" s="7" t="s">
        <v>15</v>
      </c>
      <c r="D13" s="41"/>
    </row>
    <row r="14" spans="1:4" x14ac:dyDescent="0.35">
      <c r="A14" s="73">
        <v>12</v>
      </c>
      <c r="B14" s="6" t="s">
        <v>72</v>
      </c>
      <c r="C14" s="6" t="s">
        <v>14</v>
      </c>
      <c r="D14" s="41"/>
    </row>
    <row r="15" spans="1:4" x14ac:dyDescent="0.35">
      <c r="A15" s="73">
        <v>13</v>
      </c>
      <c r="B15" s="10" t="s">
        <v>73</v>
      </c>
      <c r="C15" s="10" t="s">
        <v>16</v>
      </c>
      <c r="D15" s="41"/>
    </row>
    <row r="16" spans="1:4" x14ac:dyDescent="0.35">
      <c r="A16" s="73">
        <v>14</v>
      </c>
      <c r="B16" s="10" t="s">
        <v>70</v>
      </c>
      <c r="C16" s="10" t="s">
        <v>16</v>
      </c>
      <c r="D16" s="40"/>
    </row>
    <row r="17" spans="1:6" x14ac:dyDescent="0.35">
      <c r="A17" s="73">
        <v>15</v>
      </c>
      <c r="B17" s="9" t="s">
        <v>79</v>
      </c>
      <c r="C17" s="9" t="s">
        <v>20</v>
      </c>
      <c r="D17" s="41"/>
    </row>
    <row r="18" spans="1:6" x14ac:dyDescent="0.35">
      <c r="A18" s="73">
        <v>16</v>
      </c>
      <c r="B18" s="11" t="s">
        <v>76</v>
      </c>
      <c r="C18" s="11" t="s">
        <v>17</v>
      </c>
      <c r="D18" s="40"/>
    </row>
    <row r="19" spans="1:6" x14ac:dyDescent="0.35">
      <c r="A19" s="73">
        <v>17</v>
      </c>
      <c r="B19" s="9" t="s">
        <v>75</v>
      </c>
      <c r="C19" s="9" t="s">
        <v>20</v>
      </c>
    </row>
    <row r="20" spans="1:6" x14ac:dyDescent="0.35">
      <c r="A20" s="73">
        <v>18</v>
      </c>
      <c r="B20" s="6" t="s">
        <v>78</v>
      </c>
      <c r="C20" s="6" t="s">
        <v>14</v>
      </c>
      <c r="D20" s="41"/>
    </row>
    <row r="21" spans="1:6" x14ac:dyDescent="0.35">
      <c r="A21" s="73">
        <v>19</v>
      </c>
      <c r="B21" s="11" t="s">
        <v>125</v>
      </c>
      <c r="C21" s="11" t="s">
        <v>17</v>
      </c>
      <c r="D21" s="41"/>
    </row>
    <row r="22" spans="1:6" x14ac:dyDescent="0.35">
      <c r="A22" s="73">
        <v>20</v>
      </c>
      <c r="B22" s="8" t="s">
        <v>80</v>
      </c>
      <c r="C22" s="8" t="s">
        <v>19</v>
      </c>
      <c r="D22" s="41"/>
    </row>
    <row r="23" spans="1:6" x14ac:dyDescent="0.35">
      <c r="A23" s="73">
        <v>21</v>
      </c>
      <c r="B23" s="7" t="s">
        <v>74</v>
      </c>
      <c r="C23" s="7" t="s">
        <v>15</v>
      </c>
      <c r="D23" s="40"/>
    </row>
    <row r="24" spans="1:6" x14ac:dyDescent="0.35">
      <c r="A24" s="73">
        <v>22</v>
      </c>
      <c r="B24" s="8" t="s">
        <v>77</v>
      </c>
      <c r="C24" s="8" t="s">
        <v>19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" t="s">
        <v>601</v>
      </c>
      <c r="E28" s="17" t="s">
        <v>623</v>
      </c>
      <c r="F28" s="2">
        <v>25</v>
      </c>
    </row>
    <row r="29" spans="1:6" x14ac:dyDescent="0.35">
      <c r="A29" s="73">
        <v>2</v>
      </c>
      <c r="B29" s="3" t="s">
        <v>61</v>
      </c>
      <c r="C29" s="3" t="s">
        <v>11</v>
      </c>
      <c r="D29" s="50" t="s">
        <v>602</v>
      </c>
      <c r="E29" s="15" t="s">
        <v>624</v>
      </c>
      <c r="F29" s="3">
        <v>19</v>
      </c>
    </row>
    <row r="30" spans="1:6" x14ac:dyDescent="0.35">
      <c r="A30" s="73">
        <v>3</v>
      </c>
      <c r="B30" s="3" t="s">
        <v>65</v>
      </c>
      <c r="C30" s="3" t="s">
        <v>11</v>
      </c>
      <c r="D30" s="3" t="s">
        <v>603</v>
      </c>
      <c r="E30" s="15" t="s">
        <v>625</v>
      </c>
      <c r="F30" s="3">
        <v>15</v>
      </c>
    </row>
    <row r="31" spans="1:6" x14ac:dyDescent="0.35">
      <c r="A31" s="73">
        <v>4</v>
      </c>
      <c r="B31" s="49" t="s">
        <v>81</v>
      </c>
      <c r="C31" s="49" t="s">
        <v>21</v>
      </c>
      <c r="D31" s="49" t="s">
        <v>604</v>
      </c>
      <c r="E31" s="52" t="s">
        <v>626</v>
      </c>
      <c r="F31" s="49">
        <v>12</v>
      </c>
    </row>
    <row r="32" spans="1:6" x14ac:dyDescent="0.35">
      <c r="A32" s="73">
        <v>5</v>
      </c>
      <c r="B32" s="4" t="s">
        <v>71</v>
      </c>
      <c r="C32" s="4" t="s">
        <v>12</v>
      </c>
      <c r="D32" s="4" t="s">
        <v>605</v>
      </c>
      <c r="E32" s="18" t="s">
        <v>627</v>
      </c>
      <c r="F32" s="4">
        <v>10</v>
      </c>
    </row>
    <row r="33" spans="1:6" x14ac:dyDescent="0.35">
      <c r="A33" s="73">
        <v>6</v>
      </c>
      <c r="B33" s="5" t="s">
        <v>68</v>
      </c>
      <c r="C33" s="5" t="s">
        <v>13</v>
      </c>
      <c r="D33" s="5" t="s">
        <v>606</v>
      </c>
      <c r="E33" s="16" t="s">
        <v>628</v>
      </c>
      <c r="F33" s="5">
        <v>8</v>
      </c>
    </row>
    <row r="34" spans="1:6" x14ac:dyDescent="0.35">
      <c r="A34" s="73">
        <v>7</v>
      </c>
      <c r="B34" s="4" t="s">
        <v>64</v>
      </c>
      <c r="C34" s="4" t="s">
        <v>12</v>
      </c>
      <c r="D34" s="4" t="s">
        <v>607</v>
      </c>
      <c r="E34" s="18" t="s">
        <v>629</v>
      </c>
      <c r="F34" s="4">
        <v>6</v>
      </c>
    </row>
    <row r="35" spans="1:6" x14ac:dyDescent="0.35">
      <c r="A35" s="73">
        <v>8</v>
      </c>
      <c r="B35" s="5" t="s">
        <v>62</v>
      </c>
      <c r="C35" s="5" t="s">
        <v>13</v>
      </c>
      <c r="D35" s="5" t="s">
        <v>608</v>
      </c>
      <c r="E35" s="16" t="s">
        <v>630</v>
      </c>
      <c r="F35" s="5">
        <v>4</v>
      </c>
    </row>
    <row r="36" spans="1:6" x14ac:dyDescent="0.35">
      <c r="A36" s="73">
        <v>9</v>
      </c>
      <c r="B36" s="7" t="s">
        <v>66</v>
      </c>
      <c r="C36" s="7" t="s">
        <v>15</v>
      </c>
      <c r="D36" s="7" t="s">
        <v>609</v>
      </c>
      <c r="E36" s="19" t="s">
        <v>631</v>
      </c>
      <c r="F36" s="7">
        <v>2</v>
      </c>
    </row>
    <row r="37" spans="1:6" x14ac:dyDescent="0.35">
      <c r="A37" s="73">
        <v>10</v>
      </c>
      <c r="B37" s="6" t="s">
        <v>72</v>
      </c>
      <c r="C37" s="6" t="s">
        <v>14</v>
      </c>
      <c r="D37" s="6" t="s">
        <v>610</v>
      </c>
      <c r="E37" s="22" t="s">
        <v>632</v>
      </c>
      <c r="F37" s="6">
        <v>1</v>
      </c>
    </row>
    <row r="38" spans="1:6" x14ac:dyDescent="0.35">
      <c r="A38" s="73">
        <v>11</v>
      </c>
      <c r="B38" s="10" t="s">
        <v>70</v>
      </c>
      <c r="C38" s="10" t="s">
        <v>16</v>
      </c>
      <c r="D38" s="10" t="s">
        <v>611</v>
      </c>
      <c r="E38" s="21" t="s">
        <v>122</v>
      </c>
      <c r="F38" s="10">
        <v>0</v>
      </c>
    </row>
    <row r="39" spans="1:6" x14ac:dyDescent="0.35">
      <c r="A39" s="73">
        <v>12</v>
      </c>
      <c r="B39" s="12" t="s">
        <v>69</v>
      </c>
      <c r="C39" s="12" t="s">
        <v>18</v>
      </c>
      <c r="D39" s="12" t="s">
        <v>612</v>
      </c>
      <c r="E39" s="20" t="s">
        <v>122</v>
      </c>
      <c r="F39" s="12">
        <v>0</v>
      </c>
    </row>
    <row r="40" spans="1:6" x14ac:dyDescent="0.35">
      <c r="A40" s="73">
        <v>13</v>
      </c>
      <c r="B40" s="10" t="s">
        <v>73</v>
      </c>
      <c r="C40" s="10" t="s">
        <v>16</v>
      </c>
      <c r="D40" s="10" t="s">
        <v>620</v>
      </c>
      <c r="E40" s="21" t="s">
        <v>122</v>
      </c>
      <c r="F40" s="10">
        <v>0</v>
      </c>
    </row>
    <row r="41" spans="1:6" x14ac:dyDescent="0.35">
      <c r="A41" s="73">
        <v>14</v>
      </c>
      <c r="B41" s="6" t="s">
        <v>78</v>
      </c>
      <c r="C41" s="6" t="s">
        <v>14</v>
      </c>
      <c r="D41" s="6" t="s">
        <v>613</v>
      </c>
      <c r="E41" s="22" t="s">
        <v>122</v>
      </c>
      <c r="F41" s="6">
        <v>0</v>
      </c>
    </row>
    <row r="42" spans="1:6" x14ac:dyDescent="0.35">
      <c r="A42" s="73">
        <v>15</v>
      </c>
      <c r="B42" s="8" t="s">
        <v>80</v>
      </c>
      <c r="C42" s="8" t="s">
        <v>19</v>
      </c>
      <c r="D42" s="8" t="s">
        <v>614</v>
      </c>
      <c r="E42" s="25" t="s">
        <v>122</v>
      </c>
      <c r="F42" s="8">
        <v>0</v>
      </c>
    </row>
    <row r="43" spans="1:6" x14ac:dyDescent="0.35">
      <c r="A43" s="73">
        <v>16</v>
      </c>
      <c r="B43" s="11" t="s">
        <v>76</v>
      </c>
      <c r="C43" s="11" t="s">
        <v>17</v>
      </c>
      <c r="D43" s="11" t="s">
        <v>615</v>
      </c>
      <c r="E43" s="24" t="s">
        <v>122</v>
      </c>
      <c r="F43" s="11">
        <v>0</v>
      </c>
    </row>
    <row r="44" spans="1:6" x14ac:dyDescent="0.35">
      <c r="A44" s="73">
        <v>17</v>
      </c>
      <c r="B44" s="11" t="s">
        <v>125</v>
      </c>
      <c r="C44" s="11" t="s">
        <v>17</v>
      </c>
      <c r="D44" s="11" t="s">
        <v>616</v>
      </c>
      <c r="E44" s="24" t="s">
        <v>122</v>
      </c>
      <c r="F44" s="11">
        <v>0</v>
      </c>
    </row>
    <row r="45" spans="1:6" x14ac:dyDescent="0.35">
      <c r="A45" s="73">
        <v>18</v>
      </c>
      <c r="B45" s="9" t="s">
        <v>79</v>
      </c>
      <c r="C45" s="9" t="s">
        <v>20</v>
      </c>
      <c r="D45" s="9" t="s">
        <v>617</v>
      </c>
      <c r="E45" s="23" t="s">
        <v>122</v>
      </c>
      <c r="F45" s="9">
        <v>0</v>
      </c>
    </row>
    <row r="46" spans="1:6" x14ac:dyDescent="0.35">
      <c r="A46" s="73">
        <v>19</v>
      </c>
      <c r="B46" s="8" t="s">
        <v>77</v>
      </c>
      <c r="C46" s="8" t="s">
        <v>19</v>
      </c>
      <c r="D46" s="8" t="s">
        <v>618</v>
      </c>
      <c r="E46" s="25" t="s">
        <v>122</v>
      </c>
      <c r="F46" s="8">
        <v>0</v>
      </c>
    </row>
    <row r="47" spans="1:6" x14ac:dyDescent="0.35">
      <c r="A47" s="73">
        <v>20</v>
      </c>
      <c r="B47" s="7" t="s">
        <v>74</v>
      </c>
      <c r="C47" s="7" t="s">
        <v>15</v>
      </c>
      <c r="D47" s="7" t="s">
        <v>619</v>
      </c>
      <c r="E47" s="19" t="s">
        <v>122</v>
      </c>
      <c r="F47" s="7">
        <v>0</v>
      </c>
    </row>
    <row r="48" spans="1:6" x14ac:dyDescent="0.35">
      <c r="A48" s="73">
        <v>21</v>
      </c>
      <c r="B48" s="9" t="s">
        <v>75</v>
      </c>
      <c r="C48" s="9" t="s">
        <v>20</v>
      </c>
      <c r="D48" s="9" t="s">
        <v>621</v>
      </c>
      <c r="E48" s="23" t="s">
        <v>122</v>
      </c>
      <c r="F48" s="9">
        <v>0</v>
      </c>
    </row>
    <row r="49" spans="1:6" x14ac:dyDescent="0.35">
      <c r="A49" s="73">
        <v>22</v>
      </c>
      <c r="B49" s="12" t="s">
        <v>67</v>
      </c>
      <c r="C49" s="12" t="s">
        <v>18</v>
      </c>
      <c r="D49" s="12" t="s">
        <v>622</v>
      </c>
      <c r="E49" s="20" t="s">
        <v>124</v>
      </c>
      <c r="F49" s="12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 t="shared" ref="C53:C63" si="0">SUMIF($C$28:$C$49,B53,$F$28:$F$49)</f>
        <v>37</v>
      </c>
    </row>
    <row r="54" spans="1:6" x14ac:dyDescent="0.35">
      <c r="A54" s="73">
        <v>2</v>
      </c>
      <c r="B54" s="3" t="s">
        <v>11</v>
      </c>
      <c r="C54" s="3">
        <f t="shared" si="0"/>
        <v>34</v>
      </c>
    </row>
    <row r="55" spans="1:6" x14ac:dyDescent="0.35">
      <c r="A55" s="73">
        <v>3</v>
      </c>
      <c r="B55" s="4" t="s">
        <v>12</v>
      </c>
      <c r="C55" s="4">
        <f t="shared" si="0"/>
        <v>16</v>
      </c>
    </row>
    <row r="56" spans="1:6" x14ac:dyDescent="0.35">
      <c r="A56" s="73">
        <v>4</v>
      </c>
      <c r="B56" s="5" t="s">
        <v>13</v>
      </c>
      <c r="C56" s="5">
        <f t="shared" si="0"/>
        <v>12</v>
      </c>
    </row>
    <row r="57" spans="1:6" x14ac:dyDescent="0.35">
      <c r="A57" s="73">
        <v>5</v>
      </c>
      <c r="B57" s="7" t="s">
        <v>15</v>
      </c>
      <c r="C57" s="7">
        <f t="shared" si="0"/>
        <v>2</v>
      </c>
    </row>
    <row r="58" spans="1:6" x14ac:dyDescent="0.35">
      <c r="A58" s="73">
        <v>6</v>
      </c>
      <c r="B58" s="6" t="s">
        <v>14</v>
      </c>
      <c r="C58" s="6">
        <f t="shared" si="0"/>
        <v>1</v>
      </c>
    </row>
    <row r="59" spans="1:6" x14ac:dyDescent="0.35">
      <c r="A59" s="73">
        <v>7</v>
      </c>
      <c r="B59" s="10" t="s">
        <v>16</v>
      </c>
      <c r="C59" s="10">
        <f t="shared" si="0"/>
        <v>0</v>
      </c>
    </row>
    <row r="60" spans="1:6" x14ac:dyDescent="0.35">
      <c r="A60" s="73">
        <v>8</v>
      </c>
      <c r="B60" s="9" t="s">
        <v>20</v>
      </c>
      <c r="C60" s="9">
        <f t="shared" si="0"/>
        <v>0</v>
      </c>
    </row>
    <row r="61" spans="1:6" x14ac:dyDescent="0.35">
      <c r="A61" s="73">
        <v>9</v>
      </c>
      <c r="B61" s="8" t="s">
        <v>19</v>
      </c>
      <c r="C61" s="8">
        <f t="shared" si="0"/>
        <v>0</v>
      </c>
    </row>
    <row r="62" spans="1:6" x14ac:dyDescent="0.35">
      <c r="A62" s="73">
        <v>10</v>
      </c>
      <c r="B62" s="12" t="s">
        <v>18</v>
      </c>
      <c r="C62" s="12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EDB6-5506-485F-B6BA-147FE5E9D10A}">
  <dimension ref="A1:F63"/>
  <sheetViews>
    <sheetView topLeftCell="A31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2.0898437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3" t="s">
        <v>65</v>
      </c>
      <c r="C3" s="3" t="s">
        <v>11</v>
      </c>
      <c r="D3" s="40"/>
    </row>
    <row r="4" spans="1:4" x14ac:dyDescent="0.35">
      <c r="A4" s="73">
        <v>2</v>
      </c>
      <c r="B4" s="3" t="s">
        <v>61</v>
      </c>
      <c r="C4" s="3" t="s">
        <v>11</v>
      </c>
      <c r="D4" s="40"/>
    </row>
    <row r="5" spans="1:4" x14ac:dyDescent="0.35">
      <c r="A5" s="73">
        <v>3</v>
      </c>
      <c r="B5" s="5" t="s">
        <v>62</v>
      </c>
      <c r="C5" s="5" t="s">
        <v>13</v>
      </c>
      <c r="D5" s="41"/>
    </row>
    <row r="6" spans="1:4" x14ac:dyDescent="0.35">
      <c r="A6" s="73">
        <v>4</v>
      </c>
      <c r="B6" s="4" t="s">
        <v>71</v>
      </c>
      <c r="C6" s="4" t="s">
        <v>12</v>
      </c>
      <c r="D6" s="41"/>
    </row>
    <row r="7" spans="1:4" x14ac:dyDescent="0.35">
      <c r="A7" s="73">
        <v>5</v>
      </c>
      <c r="B7" s="53" t="s">
        <v>81</v>
      </c>
      <c r="C7" s="53" t="s">
        <v>21</v>
      </c>
    </row>
    <row r="8" spans="1:4" x14ac:dyDescent="0.35">
      <c r="A8" s="73">
        <v>6</v>
      </c>
      <c r="B8" s="4" t="s">
        <v>64</v>
      </c>
      <c r="C8" s="4" t="s">
        <v>12</v>
      </c>
      <c r="D8" s="40"/>
    </row>
    <row r="9" spans="1:4" x14ac:dyDescent="0.35">
      <c r="A9" s="73">
        <v>7</v>
      </c>
      <c r="B9" s="12" t="s">
        <v>67</v>
      </c>
      <c r="C9" s="12" t="s">
        <v>18</v>
      </c>
    </row>
    <row r="10" spans="1:4" x14ac:dyDescent="0.35">
      <c r="A10" s="73">
        <v>8</v>
      </c>
      <c r="B10" s="5" t="s">
        <v>68</v>
      </c>
      <c r="C10" s="5" t="s">
        <v>13</v>
      </c>
      <c r="D10" s="40"/>
    </row>
    <row r="11" spans="1:4" x14ac:dyDescent="0.35">
      <c r="A11" s="73">
        <v>9</v>
      </c>
      <c r="B11" s="12" t="s">
        <v>69</v>
      </c>
      <c r="C11" s="12" t="s">
        <v>18</v>
      </c>
      <c r="D11" s="41"/>
    </row>
    <row r="12" spans="1:4" x14ac:dyDescent="0.35">
      <c r="A12" s="73">
        <v>10</v>
      </c>
      <c r="B12" s="7" t="s">
        <v>66</v>
      </c>
      <c r="C12" s="7" t="s">
        <v>15</v>
      </c>
      <c r="D12" s="41"/>
    </row>
    <row r="13" spans="1:4" x14ac:dyDescent="0.35">
      <c r="A13" s="73">
        <v>11</v>
      </c>
      <c r="B13" s="11" t="s">
        <v>76</v>
      </c>
      <c r="C13" s="11" t="s">
        <v>17</v>
      </c>
      <c r="D13" s="41"/>
    </row>
    <row r="14" spans="1:4" x14ac:dyDescent="0.35">
      <c r="A14" s="73">
        <v>12</v>
      </c>
      <c r="B14" s="53" t="s">
        <v>63</v>
      </c>
      <c r="C14" s="53" t="s">
        <v>21</v>
      </c>
      <c r="D14" s="41"/>
    </row>
    <row r="15" spans="1:4" x14ac:dyDescent="0.35">
      <c r="A15" s="73">
        <v>13</v>
      </c>
      <c r="B15" s="10" t="s">
        <v>73</v>
      </c>
      <c r="C15" s="10" t="s">
        <v>16</v>
      </c>
      <c r="D15" s="41"/>
    </row>
    <row r="16" spans="1:4" x14ac:dyDescent="0.35">
      <c r="A16" s="73">
        <v>14</v>
      </c>
      <c r="B16" s="6" t="s">
        <v>72</v>
      </c>
      <c r="C16" s="6" t="s">
        <v>14</v>
      </c>
      <c r="D16" s="40"/>
    </row>
    <row r="17" spans="1:6" x14ac:dyDescent="0.35">
      <c r="A17" s="73">
        <v>15</v>
      </c>
      <c r="B17" s="9" t="s">
        <v>75</v>
      </c>
      <c r="C17" s="9" t="s">
        <v>20</v>
      </c>
      <c r="D17" s="41"/>
    </row>
    <row r="18" spans="1:6" x14ac:dyDescent="0.35">
      <c r="A18" s="73">
        <v>16</v>
      </c>
      <c r="B18" s="10" t="s">
        <v>70</v>
      </c>
      <c r="C18" s="10" t="s">
        <v>16</v>
      </c>
      <c r="D18" s="40"/>
    </row>
    <row r="19" spans="1:6" x14ac:dyDescent="0.35">
      <c r="A19" s="73">
        <v>17</v>
      </c>
      <c r="B19" s="8" t="s">
        <v>77</v>
      </c>
      <c r="C19" s="8" t="s">
        <v>19</v>
      </c>
    </row>
    <row r="20" spans="1:6" x14ac:dyDescent="0.35">
      <c r="A20" s="73">
        <v>18</v>
      </c>
      <c r="B20" s="8" t="s">
        <v>80</v>
      </c>
      <c r="C20" s="8" t="s">
        <v>19</v>
      </c>
      <c r="D20" s="41"/>
    </row>
    <row r="21" spans="1:6" x14ac:dyDescent="0.35">
      <c r="A21" s="73">
        <v>19</v>
      </c>
      <c r="B21" s="7" t="s">
        <v>74</v>
      </c>
      <c r="C21" s="7" t="s">
        <v>15</v>
      </c>
      <c r="D21" s="41"/>
    </row>
    <row r="22" spans="1:6" x14ac:dyDescent="0.35">
      <c r="A22" s="73">
        <v>20</v>
      </c>
      <c r="B22" s="9" t="s">
        <v>79</v>
      </c>
      <c r="C22" s="9" t="s">
        <v>20</v>
      </c>
      <c r="D22" s="41"/>
    </row>
    <row r="23" spans="1:6" x14ac:dyDescent="0.35">
      <c r="A23" s="73">
        <v>21</v>
      </c>
      <c r="B23" s="6" t="s">
        <v>78</v>
      </c>
      <c r="C23" s="6" t="s">
        <v>14</v>
      </c>
      <c r="D23" s="40"/>
    </row>
    <row r="24" spans="1:6" x14ac:dyDescent="0.35">
      <c r="A24" s="73">
        <v>22</v>
      </c>
      <c r="B24" s="11" t="s">
        <v>125</v>
      </c>
      <c r="C24" s="11" t="s">
        <v>17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3" t="s">
        <v>61</v>
      </c>
      <c r="C28" s="3" t="s">
        <v>11</v>
      </c>
      <c r="D28" s="3" t="s">
        <v>641</v>
      </c>
      <c r="E28" s="15" t="s">
        <v>633</v>
      </c>
      <c r="F28" s="3">
        <v>25</v>
      </c>
    </row>
    <row r="29" spans="1:6" x14ac:dyDescent="0.35">
      <c r="A29" s="73">
        <v>2</v>
      </c>
      <c r="B29" s="4" t="s">
        <v>71</v>
      </c>
      <c r="C29" s="4" t="s">
        <v>12</v>
      </c>
      <c r="D29" s="4" t="s">
        <v>642</v>
      </c>
      <c r="E29" s="18" t="s">
        <v>634</v>
      </c>
      <c r="F29" s="4">
        <v>18</v>
      </c>
    </row>
    <row r="30" spans="1:6" x14ac:dyDescent="0.35">
      <c r="A30" s="73">
        <v>3</v>
      </c>
      <c r="B30" s="2" t="s">
        <v>63</v>
      </c>
      <c r="C30" s="2" t="s">
        <v>21</v>
      </c>
      <c r="D30" s="2" t="s">
        <v>643</v>
      </c>
      <c r="E30" s="17" t="s">
        <v>635</v>
      </c>
      <c r="F30" s="2">
        <v>15</v>
      </c>
    </row>
    <row r="31" spans="1:6" x14ac:dyDescent="0.35">
      <c r="A31" s="73">
        <v>4</v>
      </c>
      <c r="B31" s="3" t="s">
        <v>65</v>
      </c>
      <c r="C31" s="3" t="s">
        <v>11</v>
      </c>
      <c r="D31" s="3" t="s">
        <v>644</v>
      </c>
      <c r="E31" s="15" t="s">
        <v>636</v>
      </c>
      <c r="F31" s="3">
        <v>12</v>
      </c>
    </row>
    <row r="32" spans="1:6" x14ac:dyDescent="0.35">
      <c r="A32" s="73">
        <v>5</v>
      </c>
      <c r="B32" s="5" t="s">
        <v>68</v>
      </c>
      <c r="C32" s="5" t="s">
        <v>13</v>
      </c>
      <c r="D32" s="5" t="s">
        <v>645</v>
      </c>
      <c r="E32" s="16" t="s">
        <v>637</v>
      </c>
      <c r="F32" s="5">
        <v>10</v>
      </c>
    </row>
    <row r="33" spans="1:6" x14ac:dyDescent="0.35">
      <c r="A33" s="73">
        <v>6</v>
      </c>
      <c r="B33" s="4" t="s">
        <v>64</v>
      </c>
      <c r="C33" s="4" t="s">
        <v>12</v>
      </c>
      <c r="D33" s="4" t="s">
        <v>646</v>
      </c>
      <c r="E33" s="18" t="s">
        <v>638</v>
      </c>
      <c r="F33" s="4">
        <v>8</v>
      </c>
    </row>
    <row r="34" spans="1:6" x14ac:dyDescent="0.35">
      <c r="A34" s="73">
        <v>7</v>
      </c>
      <c r="B34" s="5" t="s">
        <v>62</v>
      </c>
      <c r="C34" s="5" t="s">
        <v>13</v>
      </c>
      <c r="D34" s="5" t="s">
        <v>647</v>
      </c>
      <c r="E34" s="16" t="s">
        <v>639</v>
      </c>
      <c r="F34" s="5">
        <v>6</v>
      </c>
    </row>
    <row r="35" spans="1:6" x14ac:dyDescent="0.35">
      <c r="A35" s="73">
        <v>8</v>
      </c>
      <c r="B35" s="49" t="s">
        <v>81</v>
      </c>
      <c r="C35" s="49" t="s">
        <v>21</v>
      </c>
      <c r="D35" s="49" t="s">
        <v>648</v>
      </c>
      <c r="E35" s="52" t="s">
        <v>122</v>
      </c>
      <c r="F35" s="49">
        <v>4</v>
      </c>
    </row>
    <row r="36" spans="1:6" x14ac:dyDescent="0.35">
      <c r="A36" s="73">
        <v>9</v>
      </c>
      <c r="B36" s="12" t="s">
        <v>67</v>
      </c>
      <c r="C36" s="12" t="s">
        <v>18</v>
      </c>
      <c r="D36" s="12" t="s">
        <v>649</v>
      </c>
      <c r="E36" s="20" t="s">
        <v>122</v>
      </c>
      <c r="F36" s="12">
        <v>2</v>
      </c>
    </row>
    <row r="37" spans="1:6" x14ac:dyDescent="0.35">
      <c r="A37" s="73">
        <v>10</v>
      </c>
      <c r="B37" s="7" t="s">
        <v>66</v>
      </c>
      <c r="C37" s="7" t="s">
        <v>15</v>
      </c>
      <c r="D37" s="7" t="s">
        <v>650</v>
      </c>
      <c r="E37" s="19" t="s">
        <v>122</v>
      </c>
      <c r="F37" s="7">
        <v>1</v>
      </c>
    </row>
    <row r="38" spans="1:6" x14ac:dyDescent="0.35">
      <c r="A38" s="73">
        <v>11</v>
      </c>
      <c r="B38" s="9" t="s">
        <v>75</v>
      </c>
      <c r="C38" s="9" t="s">
        <v>20</v>
      </c>
      <c r="D38" s="9" t="s">
        <v>651</v>
      </c>
      <c r="E38" s="23" t="s">
        <v>122</v>
      </c>
      <c r="F38" s="9">
        <v>0</v>
      </c>
    </row>
    <row r="39" spans="1:6" x14ac:dyDescent="0.35">
      <c r="A39" s="73">
        <v>12</v>
      </c>
      <c r="B39" s="10" t="s">
        <v>70</v>
      </c>
      <c r="C39" s="10" t="s">
        <v>16</v>
      </c>
      <c r="D39" s="10" t="s">
        <v>652</v>
      </c>
      <c r="E39" s="21" t="s">
        <v>122</v>
      </c>
      <c r="F39" s="10">
        <v>0</v>
      </c>
    </row>
    <row r="40" spans="1:6" x14ac:dyDescent="0.35">
      <c r="A40" s="73">
        <v>13</v>
      </c>
      <c r="B40" s="6" t="s">
        <v>72</v>
      </c>
      <c r="C40" s="6" t="s">
        <v>14</v>
      </c>
      <c r="D40" s="6" t="s">
        <v>653</v>
      </c>
      <c r="E40" s="22" t="s">
        <v>122</v>
      </c>
      <c r="F40" s="6">
        <v>0</v>
      </c>
    </row>
    <row r="41" spans="1:6" x14ac:dyDescent="0.35">
      <c r="A41" s="73">
        <v>14</v>
      </c>
      <c r="B41" s="11" t="s">
        <v>76</v>
      </c>
      <c r="C41" s="11" t="s">
        <v>17</v>
      </c>
      <c r="D41" s="11" t="s">
        <v>654</v>
      </c>
      <c r="E41" s="24" t="s">
        <v>123</v>
      </c>
      <c r="F41" s="11">
        <v>0</v>
      </c>
    </row>
    <row r="42" spans="1:6" x14ac:dyDescent="0.35">
      <c r="A42" s="73">
        <v>15</v>
      </c>
      <c r="B42" s="12" t="s">
        <v>69</v>
      </c>
      <c r="C42" s="12" t="s">
        <v>18</v>
      </c>
      <c r="D42" s="12" t="s">
        <v>655</v>
      </c>
      <c r="E42" s="20" t="s">
        <v>123</v>
      </c>
      <c r="F42" s="12">
        <v>0</v>
      </c>
    </row>
    <row r="43" spans="1:6" x14ac:dyDescent="0.35">
      <c r="A43" s="73">
        <v>16</v>
      </c>
      <c r="B43" s="7" t="s">
        <v>74</v>
      </c>
      <c r="C43" s="7" t="s">
        <v>15</v>
      </c>
      <c r="D43" s="7" t="s">
        <v>656</v>
      </c>
      <c r="E43" s="19" t="s">
        <v>123</v>
      </c>
      <c r="F43" s="7">
        <v>0</v>
      </c>
    </row>
    <row r="44" spans="1:6" x14ac:dyDescent="0.35">
      <c r="A44" s="73">
        <v>17</v>
      </c>
      <c r="B44" s="10" t="s">
        <v>73</v>
      </c>
      <c r="C44" s="10" t="s">
        <v>16</v>
      </c>
      <c r="D44" s="10" t="s">
        <v>657</v>
      </c>
      <c r="E44" s="21" t="s">
        <v>123</v>
      </c>
      <c r="F44" s="10">
        <v>0</v>
      </c>
    </row>
    <row r="45" spans="1:6" x14ac:dyDescent="0.35">
      <c r="A45" s="73">
        <v>18</v>
      </c>
      <c r="B45" s="8" t="s">
        <v>80</v>
      </c>
      <c r="C45" s="8" t="s">
        <v>19</v>
      </c>
      <c r="D45" s="8" t="s">
        <v>658</v>
      </c>
      <c r="E45" s="25" t="s">
        <v>123</v>
      </c>
      <c r="F45" s="8">
        <v>0</v>
      </c>
    </row>
    <row r="46" spans="1:6" x14ac:dyDescent="0.35">
      <c r="A46" s="73">
        <v>19</v>
      </c>
      <c r="B46" s="11" t="s">
        <v>125</v>
      </c>
      <c r="C46" s="11" t="s">
        <v>17</v>
      </c>
      <c r="D46" s="11" t="s">
        <v>659</v>
      </c>
      <c r="E46" s="24" t="s">
        <v>123</v>
      </c>
      <c r="F46" s="11">
        <v>0</v>
      </c>
    </row>
    <row r="47" spans="1:6" x14ac:dyDescent="0.35">
      <c r="A47" s="73">
        <v>20</v>
      </c>
      <c r="B47" s="8" t="s">
        <v>77</v>
      </c>
      <c r="C47" s="8" t="s">
        <v>19</v>
      </c>
      <c r="D47" s="8" t="s">
        <v>660</v>
      </c>
      <c r="E47" s="25" t="s">
        <v>123</v>
      </c>
      <c r="F47" s="8">
        <v>0</v>
      </c>
    </row>
    <row r="48" spans="1:6" x14ac:dyDescent="0.35">
      <c r="A48" s="73">
        <v>21</v>
      </c>
      <c r="B48" s="6" t="s">
        <v>78</v>
      </c>
      <c r="C48" s="6" t="s">
        <v>14</v>
      </c>
      <c r="D48" s="6" t="s">
        <v>661</v>
      </c>
      <c r="E48" s="22" t="s">
        <v>123</v>
      </c>
      <c r="F48" s="6">
        <v>0</v>
      </c>
    </row>
    <row r="49" spans="1:6" x14ac:dyDescent="0.35">
      <c r="A49" s="73">
        <v>22</v>
      </c>
      <c r="B49" s="9" t="s">
        <v>79</v>
      </c>
      <c r="C49" s="9" t="s">
        <v>20</v>
      </c>
      <c r="D49" s="51" t="s">
        <v>640</v>
      </c>
      <c r="E49" s="23" t="s">
        <v>123</v>
      </c>
      <c r="F49" s="9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3" t="s">
        <v>11</v>
      </c>
      <c r="C53" s="3">
        <f t="shared" ref="C53:C63" si="0">SUMIF($C$28:$C$49,B53,$F$28:$F$49)</f>
        <v>37</v>
      </c>
    </row>
    <row r="54" spans="1:6" x14ac:dyDescent="0.35">
      <c r="A54" s="73">
        <v>2</v>
      </c>
      <c r="B54" s="4" t="s">
        <v>12</v>
      </c>
      <c r="C54" s="4">
        <f t="shared" si="0"/>
        <v>26</v>
      </c>
    </row>
    <row r="55" spans="1:6" x14ac:dyDescent="0.35">
      <c r="A55" s="73">
        <v>3</v>
      </c>
      <c r="B55" s="2" t="s">
        <v>21</v>
      </c>
      <c r="C55" s="2">
        <f t="shared" si="0"/>
        <v>19</v>
      </c>
    </row>
    <row r="56" spans="1:6" x14ac:dyDescent="0.35">
      <c r="A56" s="73">
        <v>4</v>
      </c>
      <c r="B56" s="5" t="s">
        <v>13</v>
      </c>
      <c r="C56" s="5">
        <f t="shared" si="0"/>
        <v>16</v>
      </c>
    </row>
    <row r="57" spans="1:6" x14ac:dyDescent="0.35">
      <c r="A57" s="73">
        <v>5</v>
      </c>
      <c r="B57" s="12" t="s">
        <v>18</v>
      </c>
      <c r="C57" s="12">
        <f t="shared" si="0"/>
        <v>2</v>
      </c>
    </row>
    <row r="58" spans="1:6" x14ac:dyDescent="0.35">
      <c r="A58" s="73">
        <v>6</v>
      </c>
      <c r="B58" s="7" t="s">
        <v>15</v>
      </c>
      <c r="C58" s="7">
        <f t="shared" si="0"/>
        <v>1</v>
      </c>
    </row>
    <row r="59" spans="1:6" x14ac:dyDescent="0.35">
      <c r="A59" s="73">
        <v>7</v>
      </c>
      <c r="B59" s="10" t="s">
        <v>16</v>
      </c>
      <c r="C59" s="10">
        <f t="shared" si="0"/>
        <v>0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5CF8-7B24-4532-83BD-6AD74629EAEB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1796875" customWidth="1"/>
    <col min="4" max="4" width="1.6328125" customWidth="1"/>
    <col min="5" max="5" width="15.36328125" bestFit="1" customWidth="1"/>
    <col min="6" max="6" width="40.08984375" bestFit="1" customWidth="1"/>
    <col min="7" max="7" width="12.0898437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49" t="s">
        <v>63</v>
      </c>
      <c r="C3" s="49" t="s">
        <v>21</v>
      </c>
      <c r="D3" s="40"/>
    </row>
    <row r="4" spans="1:4" x14ac:dyDescent="0.35">
      <c r="A4" s="73">
        <v>2</v>
      </c>
      <c r="B4" s="53" t="s">
        <v>81</v>
      </c>
      <c r="C4" s="53" t="s">
        <v>21</v>
      </c>
      <c r="D4" s="40"/>
    </row>
    <row r="5" spans="1:4" x14ac:dyDescent="0.35">
      <c r="A5" s="73">
        <v>3</v>
      </c>
      <c r="B5" s="3" t="s">
        <v>61</v>
      </c>
      <c r="C5" s="3" t="s">
        <v>11</v>
      </c>
      <c r="D5" s="41"/>
    </row>
    <row r="6" spans="1:4" x14ac:dyDescent="0.35">
      <c r="A6" s="73">
        <v>4</v>
      </c>
      <c r="B6" s="5" t="s">
        <v>68</v>
      </c>
      <c r="C6" s="5" t="s">
        <v>13</v>
      </c>
      <c r="D6" s="41"/>
    </row>
    <row r="7" spans="1:4" x14ac:dyDescent="0.35">
      <c r="A7" s="73">
        <v>5</v>
      </c>
      <c r="B7" s="12" t="s">
        <v>67</v>
      </c>
      <c r="C7" s="12" t="s">
        <v>18</v>
      </c>
    </row>
    <row r="8" spans="1:4" x14ac:dyDescent="0.35">
      <c r="A8" s="73">
        <v>6</v>
      </c>
      <c r="B8" s="4" t="s">
        <v>71</v>
      </c>
      <c r="C8" s="4" t="s">
        <v>12</v>
      </c>
      <c r="D8" s="40"/>
    </row>
    <row r="9" spans="1:4" x14ac:dyDescent="0.35">
      <c r="A9" s="73">
        <v>7</v>
      </c>
      <c r="B9" s="12" t="s">
        <v>69</v>
      </c>
      <c r="C9" s="12" t="s">
        <v>18</v>
      </c>
    </row>
    <row r="10" spans="1:4" x14ac:dyDescent="0.35">
      <c r="A10" s="73">
        <v>8</v>
      </c>
      <c r="B10" s="5" t="s">
        <v>62</v>
      </c>
      <c r="C10" s="5" t="s">
        <v>13</v>
      </c>
      <c r="D10" s="40"/>
    </row>
    <row r="11" spans="1:4" x14ac:dyDescent="0.35">
      <c r="A11" s="73">
        <v>9</v>
      </c>
      <c r="B11" s="10" t="s">
        <v>70</v>
      </c>
      <c r="C11" s="10" t="s">
        <v>16</v>
      </c>
      <c r="D11" s="41"/>
    </row>
    <row r="12" spans="1:4" x14ac:dyDescent="0.35">
      <c r="A12" s="73">
        <v>10</v>
      </c>
      <c r="B12" s="6" t="s">
        <v>72</v>
      </c>
      <c r="C12" s="6" t="s">
        <v>14</v>
      </c>
      <c r="D12" s="41"/>
    </row>
    <row r="13" spans="1:4" x14ac:dyDescent="0.35">
      <c r="A13" s="73">
        <v>11</v>
      </c>
      <c r="B13" s="4" t="s">
        <v>64</v>
      </c>
      <c r="C13" s="4" t="s">
        <v>12</v>
      </c>
      <c r="D13" s="41"/>
    </row>
    <row r="14" spans="1:4" x14ac:dyDescent="0.35">
      <c r="A14" s="73">
        <v>12</v>
      </c>
      <c r="B14" s="7" t="s">
        <v>66</v>
      </c>
      <c r="C14" s="7" t="s">
        <v>15</v>
      </c>
      <c r="D14" s="41"/>
    </row>
    <row r="15" spans="1:4" x14ac:dyDescent="0.35">
      <c r="A15" s="73">
        <v>13</v>
      </c>
      <c r="B15" s="10" t="s">
        <v>73</v>
      </c>
      <c r="C15" s="10" t="s">
        <v>16</v>
      </c>
      <c r="D15" s="41"/>
    </row>
    <row r="16" spans="1:4" x14ac:dyDescent="0.35">
      <c r="A16" s="73">
        <v>14</v>
      </c>
      <c r="B16" s="63" t="s">
        <v>65</v>
      </c>
      <c r="C16" s="63" t="s">
        <v>11</v>
      </c>
      <c r="D16" s="40"/>
    </row>
    <row r="17" spans="1:6" x14ac:dyDescent="0.35">
      <c r="A17" s="73">
        <v>15</v>
      </c>
      <c r="B17" s="9" t="s">
        <v>75</v>
      </c>
      <c r="C17" s="9" t="s">
        <v>20</v>
      </c>
      <c r="D17" s="41"/>
    </row>
    <row r="18" spans="1:6" x14ac:dyDescent="0.35">
      <c r="A18" s="73">
        <v>16</v>
      </c>
      <c r="B18" s="8" t="s">
        <v>77</v>
      </c>
      <c r="C18" s="8" t="s">
        <v>19</v>
      </c>
      <c r="D18" s="40"/>
    </row>
    <row r="19" spans="1:6" x14ac:dyDescent="0.35">
      <c r="A19" s="73">
        <v>17</v>
      </c>
      <c r="B19" s="6" t="s">
        <v>78</v>
      </c>
      <c r="C19" s="6" t="s">
        <v>14</v>
      </c>
    </row>
    <row r="20" spans="1:6" x14ac:dyDescent="0.35">
      <c r="A20" s="73">
        <v>18</v>
      </c>
      <c r="B20" s="8" t="s">
        <v>80</v>
      </c>
      <c r="C20" s="8" t="s">
        <v>19</v>
      </c>
      <c r="D20" s="41"/>
    </row>
    <row r="21" spans="1:6" x14ac:dyDescent="0.35">
      <c r="A21" s="73">
        <v>19</v>
      </c>
      <c r="B21" s="7" t="s">
        <v>74</v>
      </c>
      <c r="C21" s="7" t="s">
        <v>15</v>
      </c>
      <c r="D21" s="41"/>
    </row>
    <row r="22" spans="1:6" x14ac:dyDescent="0.35">
      <c r="A22" s="73">
        <v>20</v>
      </c>
      <c r="B22" s="11" t="s">
        <v>76</v>
      </c>
      <c r="C22" s="11" t="s">
        <v>17</v>
      </c>
      <c r="D22" s="41"/>
    </row>
    <row r="23" spans="1:6" x14ac:dyDescent="0.35">
      <c r="A23" s="73">
        <v>21</v>
      </c>
      <c r="B23" s="11" t="s">
        <v>125</v>
      </c>
      <c r="C23" s="11" t="s">
        <v>17</v>
      </c>
      <c r="D23" s="40"/>
    </row>
    <row r="24" spans="1:6" x14ac:dyDescent="0.35">
      <c r="A24" s="73">
        <v>22</v>
      </c>
      <c r="B24" s="9" t="s">
        <v>79</v>
      </c>
      <c r="C24" s="9" t="s">
        <v>20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49" t="s">
        <v>81</v>
      </c>
      <c r="C28" s="49" t="s">
        <v>21</v>
      </c>
      <c r="D28" s="49" t="s">
        <v>681</v>
      </c>
      <c r="E28" s="52" t="s">
        <v>662</v>
      </c>
      <c r="F28" s="49">
        <v>25</v>
      </c>
    </row>
    <row r="29" spans="1:6" x14ac:dyDescent="0.35">
      <c r="A29" s="73">
        <v>2</v>
      </c>
      <c r="B29" s="3" t="s">
        <v>61</v>
      </c>
      <c r="C29" s="3" t="s">
        <v>11</v>
      </c>
      <c r="D29" s="3" t="s">
        <v>682</v>
      </c>
      <c r="E29" s="15" t="s">
        <v>663</v>
      </c>
      <c r="F29" s="3">
        <v>18</v>
      </c>
    </row>
    <row r="30" spans="1:6" x14ac:dyDescent="0.35">
      <c r="A30" s="73">
        <v>3</v>
      </c>
      <c r="B30" s="2" t="s">
        <v>63</v>
      </c>
      <c r="C30" s="2" t="s">
        <v>21</v>
      </c>
      <c r="D30" s="2" t="s">
        <v>683</v>
      </c>
      <c r="E30" s="17" t="s">
        <v>664</v>
      </c>
      <c r="F30" s="2">
        <v>15</v>
      </c>
    </row>
    <row r="31" spans="1:6" x14ac:dyDescent="0.35">
      <c r="A31" s="73">
        <v>4</v>
      </c>
      <c r="B31" s="3" t="s">
        <v>65</v>
      </c>
      <c r="C31" s="3" t="s">
        <v>11</v>
      </c>
      <c r="D31" s="50" t="s">
        <v>680</v>
      </c>
      <c r="E31" s="15" t="s">
        <v>665</v>
      </c>
      <c r="F31" s="3">
        <v>13</v>
      </c>
    </row>
    <row r="32" spans="1:6" x14ac:dyDescent="0.35">
      <c r="A32" s="73">
        <v>5</v>
      </c>
      <c r="B32" s="4" t="s">
        <v>64</v>
      </c>
      <c r="C32" s="4" t="s">
        <v>12</v>
      </c>
      <c r="D32" s="4" t="s">
        <v>684</v>
      </c>
      <c r="E32" s="18" t="s">
        <v>666</v>
      </c>
      <c r="F32" s="4">
        <v>10</v>
      </c>
    </row>
    <row r="33" spans="1:6" x14ac:dyDescent="0.35">
      <c r="A33" s="73">
        <v>6</v>
      </c>
      <c r="B33" s="12" t="s">
        <v>67</v>
      </c>
      <c r="C33" s="12" t="s">
        <v>18</v>
      </c>
      <c r="D33" s="12" t="s">
        <v>686</v>
      </c>
      <c r="E33" s="20" t="s">
        <v>667</v>
      </c>
      <c r="F33" s="12">
        <v>8</v>
      </c>
    </row>
    <row r="34" spans="1:6" x14ac:dyDescent="0.35">
      <c r="A34" s="73">
        <v>7</v>
      </c>
      <c r="B34" s="5" t="s">
        <v>68</v>
      </c>
      <c r="C34" s="5" t="s">
        <v>13</v>
      </c>
      <c r="D34" s="5" t="s">
        <v>687</v>
      </c>
      <c r="E34" s="16" t="s">
        <v>668</v>
      </c>
      <c r="F34" s="5">
        <v>6</v>
      </c>
    </row>
    <row r="35" spans="1:6" x14ac:dyDescent="0.35">
      <c r="A35" s="73">
        <v>8</v>
      </c>
      <c r="B35" s="4" t="s">
        <v>71</v>
      </c>
      <c r="C35" s="4" t="s">
        <v>12</v>
      </c>
      <c r="D35" s="4" t="s">
        <v>688</v>
      </c>
      <c r="E35" s="18" t="s">
        <v>669</v>
      </c>
      <c r="F35" s="4">
        <v>4</v>
      </c>
    </row>
    <row r="36" spans="1:6" x14ac:dyDescent="0.35">
      <c r="A36" s="73">
        <v>9</v>
      </c>
      <c r="B36" s="10" t="s">
        <v>73</v>
      </c>
      <c r="C36" s="10" t="s">
        <v>16</v>
      </c>
      <c r="D36" s="10" t="s">
        <v>689</v>
      </c>
      <c r="E36" s="21" t="s">
        <v>670</v>
      </c>
      <c r="F36" s="10">
        <v>2</v>
      </c>
    </row>
    <row r="37" spans="1:6" x14ac:dyDescent="0.35">
      <c r="A37" s="73">
        <v>10</v>
      </c>
      <c r="B37" s="9" t="s">
        <v>75</v>
      </c>
      <c r="C37" s="9" t="s">
        <v>20</v>
      </c>
      <c r="D37" s="9" t="s">
        <v>690</v>
      </c>
      <c r="E37" s="23" t="s">
        <v>671</v>
      </c>
      <c r="F37" s="9">
        <v>1</v>
      </c>
    </row>
    <row r="38" spans="1:6" x14ac:dyDescent="0.35">
      <c r="A38" s="73">
        <v>11</v>
      </c>
      <c r="B38" s="11" t="s">
        <v>76</v>
      </c>
      <c r="C38" s="11" t="s">
        <v>17</v>
      </c>
      <c r="D38" s="11" t="s">
        <v>691</v>
      </c>
      <c r="E38" s="24" t="s">
        <v>672</v>
      </c>
      <c r="F38" s="11">
        <v>0</v>
      </c>
    </row>
    <row r="39" spans="1:6" x14ac:dyDescent="0.35">
      <c r="A39" s="73">
        <v>12</v>
      </c>
      <c r="B39" s="6" t="s">
        <v>72</v>
      </c>
      <c r="C39" s="6" t="s">
        <v>14</v>
      </c>
      <c r="D39" s="6" t="s">
        <v>692</v>
      </c>
      <c r="E39" s="22" t="s">
        <v>673</v>
      </c>
      <c r="F39" s="6">
        <v>0</v>
      </c>
    </row>
    <row r="40" spans="1:6" x14ac:dyDescent="0.35">
      <c r="A40" s="73">
        <v>13</v>
      </c>
      <c r="B40" s="7" t="s">
        <v>66</v>
      </c>
      <c r="C40" s="7" t="s">
        <v>15</v>
      </c>
      <c r="D40" s="7" t="s">
        <v>695</v>
      </c>
      <c r="E40" s="19" t="s">
        <v>674</v>
      </c>
      <c r="F40" s="7">
        <v>0</v>
      </c>
    </row>
    <row r="41" spans="1:6" x14ac:dyDescent="0.35">
      <c r="A41" s="73">
        <v>14</v>
      </c>
      <c r="B41" s="8" t="s">
        <v>80</v>
      </c>
      <c r="C41" s="8" t="s">
        <v>19</v>
      </c>
      <c r="D41" s="8" t="s">
        <v>685</v>
      </c>
      <c r="E41" s="25" t="s">
        <v>675</v>
      </c>
      <c r="F41" s="8">
        <v>0</v>
      </c>
    </row>
    <row r="42" spans="1:6" x14ac:dyDescent="0.35">
      <c r="A42" s="73">
        <v>15</v>
      </c>
      <c r="B42" s="11" t="s">
        <v>125</v>
      </c>
      <c r="C42" s="11" t="s">
        <v>17</v>
      </c>
      <c r="D42" s="11" t="s">
        <v>696</v>
      </c>
      <c r="E42" s="24" t="s">
        <v>676</v>
      </c>
      <c r="F42" s="11">
        <v>0</v>
      </c>
    </row>
    <row r="43" spans="1:6" x14ac:dyDescent="0.35">
      <c r="A43" s="73">
        <v>16</v>
      </c>
      <c r="B43" s="9" t="s">
        <v>79</v>
      </c>
      <c r="C43" s="9" t="s">
        <v>20</v>
      </c>
      <c r="D43" s="9" t="s">
        <v>693</v>
      </c>
      <c r="E43" s="23" t="s">
        <v>677</v>
      </c>
      <c r="F43" s="9">
        <v>0</v>
      </c>
    </row>
    <row r="44" spans="1:6" x14ac:dyDescent="0.35">
      <c r="A44" s="73">
        <v>17</v>
      </c>
      <c r="B44" s="6" t="s">
        <v>78</v>
      </c>
      <c r="C44" s="6" t="s">
        <v>14</v>
      </c>
      <c r="D44" s="6" t="s">
        <v>697</v>
      </c>
      <c r="E44" s="22" t="s">
        <v>678</v>
      </c>
      <c r="F44" s="6">
        <v>0</v>
      </c>
    </row>
    <row r="45" spans="1:6" x14ac:dyDescent="0.35">
      <c r="A45" s="73">
        <v>18</v>
      </c>
      <c r="B45" s="7" t="s">
        <v>74</v>
      </c>
      <c r="C45" s="7" t="s">
        <v>15</v>
      </c>
      <c r="D45" s="7" t="s">
        <v>694</v>
      </c>
      <c r="E45" s="19" t="s">
        <v>679</v>
      </c>
      <c r="F45" s="7">
        <v>0</v>
      </c>
    </row>
    <row r="46" spans="1:6" x14ac:dyDescent="0.35">
      <c r="A46" s="73">
        <v>19</v>
      </c>
      <c r="B46" s="8" t="s">
        <v>77</v>
      </c>
      <c r="C46" s="8" t="s">
        <v>19</v>
      </c>
      <c r="D46" s="8" t="s">
        <v>698</v>
      </c>
      <c r="E46" s="25" t="s">
        <v>122</v>
      </c>
      <c r="F46" s="8">
        <v>0</v>
      </c>
    </row>
    <row r="47" spans="1:6" x14ac:dyDescent="0.35">
      <c r="A47" s="73">
        <v>20</v>
      </c>
      <c r="B47" s="12" t="s">
        <v>69</v>
      </c>
      <c r="C47" s="12" t="s">
        <v>18</v>
      </c>
      <c r="D47" s="12" t="s">
        <v>699</v>
      </c>
      <c r="E47" s="20" t="s">
        <v>124</v>
      </c>
      <c r="F47" s="12" t="s">
        <v>82</v>
      </c>
    </row>
    <row r="48" spans="1:6" x14ac:dyDescent="0.35">
      <c r="A48" s="73">
        <v>21</v>
      </c>
      <c r="B48" s="10" t="s">
        <v>70</v>
      </c>
      <c r="C48" s="10" t="s">
        <v>16</v>
      </c>
      <c r="D48" s="10" t="s">
        <v>700</v>
      </c>
      <c r="E48" s="21" t="s">
        <v>124</v>
      </c>
      <c r="F48" s="10" t="s">
        <v>82</v>
      </c>
    </row>
    <row r="49" spans="1:6" x14ac:dyDescent="0.35">
      <c r="A49" s="73">
        <v>22</v>
      </c>
      <c r="B49" s="5" t="s">
        <v>62</v>
      </c>
      <c r="C49" s="5" t="s">
        <v>13</v>
      </c>
      <c r="D49" s="5" t="s">
        <v>701</v>
      </c>
      <c r="E49" s="16" t="s">
        <v>124</v>
      </c>
      <c r="F49" s="5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 t="shared" ref="C53:C63" si="0">SUMIF($C$28:$C$46,B53,$F$28:$F$46)</f>
        <v>40</v>
      </c>
    </row>
    <row r="54" spans="1:6" x14ac:dyDescent="0.35">
      <c r="A54" s="73">
        <v>2</v>
      </c>
      <c r="B54" s="3" t="s">
        <v>11</v>
      </c>
      <c r="C54" s="3">
        <f t="shared" si="0"/>
        <v>31</v>
      </c>
    </row>
    <row r="55" spans="1:6" x14ac:dyDescent="0.35">
      <c r="A55" s="73">
        <v>3</v>
      </c>
      <c r="B55" s="4" t="s">
        <v>12</v>
      </c>
      <c r="C55" s="4">
        <f t="shared" si="0"/>
        <v>14</v>
      </c>
    </row>
    <row r="56" spans="1:6" x14ac:dyDescent="0.35">
      <c r="A56" s="73">
        <v>4</v>
      </c>
      <c r="B56" s="12" t="s">
        <v>18</v>
      </c>
      <c r="C56" s="12">
        <f t="shared" si="0"/>
        <v>8</v>
      </c>
    </row>
    <row r="57" spans="1:6" x14ac:dyDescent="0.35">
      <c r="A57" s="73">
        <v>5</v>
      </c>
      <c r="B57" s="5" t="s">
        <v>13</v>
      </c>
      <c r="C57" s="5">
        <f t="shared" si="0"/>
        <v>6</v>
      </c>
    </row>
    <row r="58" spans="1:6" x14ac:dyDescent="0.35">
      <c r="A58" s="73">
        <v>6</v>
      </c>
      <c r="B58" s="10" t="s">
        <v>16</v>
      </c>
      <c r="C58" s="10">
        <f t="shared" si="0"/>
        <v>2</v>
      </c>
    </row>
    <row r="59" spans="1:6" x14ac:dyDescent="0.35">
      <c r="A59" s="73">
        <v>7</v>
      </c>
      <c r="B59" s="9" t="s">
        <v>20</v>
      </c>
      <c r="C59" s="9">
        <f t="shared" si="0"/>
        <v>1</v>
      </c>
    </row>
    <row r="60" spans="1:6" x14ac:dyDescent="0.35">
      <c r="A60" s="73">
        <v>8</v>
      </c>
      <c r="B60" s="7" t="s">
        <v>15</v>
      </c>
      <c r="C60" s="7">
        <f t="shared" si="0"/>
        <v>0</v>
      </c>
    </row>
    <row r="61" spans="1:6" x14ac:dyDescent="0.35">
      <c r="A61" s="73">
        <v>9</v>
      </c>
      <c r="B61" s="6" t="s">
        <v>14</v>
      </c>
      <c r="C61" s="6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BAF5-4298-4383-88A2-C0F31AFD220D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3" t="s">
        <v>61</v>
      </c>
      <c r="C3" s="3" t="s">
        <v>11</v>
      </c>
      <c r="D3" s="40"/>
    </row>
    <row r="4" spans="1:4" x14ac:dyDescent="0.35">
      <c r="A4" s="73">
        <v>2</v>
      </c>
      <c r="B4" s="53" t="s">
        <v>81</v>
      </c>
      <c r="C4" s="53" t="s">
        <v>21</v>
      </c>
      <c r="D4" s="40"/>
    </row>
    <row r="5" spans="1:4" x14ac:dyDescent="0.35">
      <c r="A5" s="73">
        <v>3</v>
      </c>
      <c r="B5" s="49" t="s">
        <v>63</v>
      </c>
      <c r="C5" s="49" t="s">
        <v>21</v>
      </c>
      <c r="D5" s="41"/>
    </row>
    <row r="6" spans="1:4" x14ac:dyDescent="0.35">
      <c r="A6" s="73">
        <v>4</v>
      </c>
      <c r="B6" s="3" t="s">
        <v>65</v>
      </c>
      <c r="C6" s="3" t="s">
        <v>11</v>
      </c>
      <c r="D6" s="41"/>
    </row>
    <row r="7" spans="1:4" x14ac:dyDescent="0.35">
      <c r="A7" s="73">
        <v>5</v>
      </c>
      <c r="B7" s="4" t="s">
        <v>71</v>
      </c>
      <c r="C7" s="4" t="s">
        <v>12</v>
      </c>
    </row>
    <row r="8" spans="1:4" x14ac:dyDescent="0.35">
      <c r="A8" s="73">
        <v>6</v>
      </c>
      <c r="B8" s="4" t="s">
        <v>64</v>
      </c>
      <c r="C8" s="4" t="s">
        <v>12</v>
      </c>
      <c r="D8" s="40"/>
    </row>
    <row r="9" spans="1:4" x14ac:dyDescent="0.35">
      <c r="A9" s="73">
        <v>7</v>
      </c>
      <c r="B9" s="65" t="s">
        <v>62</v>
      </c>
      <c r="C9" s="65" t="s">
        <v>13</v>
      </c>
    </row>
    <row r="10" spans="1:4" x14ac:dyDescent="0.35">
      <c r="A10" s="73">
        <v>8</v>
      </c>
      <c r="B10" s="6" t="s">
        <v>72</v>
      </c>
      <c r="C10" s="6" t="s">
        <v>14</v>
      </c>
      <c r="D10" s="40"/>
    </row>
    <row r="11" spans="1:4" x14ac:dyDescent="0.35">
      <c r="A11" s="73">
        <v>9</v>
      </c>
      <c r="B11" s="5" t="s">
        <v>68</v>
      </c>
      <c r="C11" s="5" t="s">
        <v>13</v>
      </c>
      <c r="D11" s="41"/>
    </row>
    <row r="12" spans="1:4" x14ac:dyDescent="0.35">
      <c r="A12" s="73">
        <v>10</v>
      </c>
      <c r="B12" s="10" t="s">
        <v>70</v>
      </c>
      <c r="C12" s="10" t="s">
        <v>16</v>
      </c>
      <c r="D12" s="41"/>
    </row>
    <row r="13" spans="1:4" x14ac:dyDescent="0.35">
      <c r="A13" s="73">
        <v>11</v>
      </c>
      <c r="B13" s="10" t="s">
        <v>73</v>
      </c>
      <c r="C13" s="10" t="s">
        <v>16</v>
      </c>
      <c r="D13" s="41"/>
    </row>
    <row r="14" spans="1:4" x14ac:dyDescent="0.35">
      <c r="A14" s="73">
        <v>12</v>
      </c>
      <c r="B14" s="12" t="s">
        <v>69</v>
      </c>
      <c r="C14" s="12" t="s">
        <v>18</v>
      </c>
      <c r="D14" s="41"/>
    </row>
    <row r="15" spans="1:4" x14ac:dyDescent="0.35">
      <c r="A15" s="73">
        <v>13</v>
      </c>
      <c r="B15" s="7" t="s">
        <v>66</v>
      </c>
      <c r="C15" s="7" t="s">
        <v>15</v>
      </c>
      <c r="D15" s="41"/>
    </row>
    <row r="16" spans="1:4" x14ac:dyDescent="0.35">
      <c r="A16" s="73">
        <v>14</v>
      </c>
      <c r="B16" s="12" t="s">
        <v>67</v>
      </c>
      <c r="C16" s="12" t="s">
        <v>18</v>
      </c>
      <c r="D16" s="40"/>
    </row>
    <row r="17" spans="1:6" x14ac:dyDescent="0.35">
      <c r="A17" s="73">
        <v>15</v>
      </c>
      <c r="B17" s="9" t="s">
        <v>75</v>
      </c>
      <c r="C17" s="9" t="s">
        <v>20</v>
      </c>
      <c r="D17" s="41"/>
    </row>
    <row r="18" spans="1:6" x14ac:dyDescent="0.35">
      <c r="A18" s="73">
        <v>16</v>
      </c>
      <c r="B18" s="11" t="s">
        <v>76</v>
      </c>
      <c r="C18" s="11" t="s">
        <v>17</v>
      </c>
      <c r="D18" s="40"/>
    </row>
    <row r="19" spans="1:6" x14ac:dyDescent="0.35">
      <c r="A19" s="73">
        <v>17</v>
      </c>
      <c r="B19" s="6" t="s">
        <v>78</v>
      </c>
      <c r="C19" s="6" t="s">
        <v>14</v>
      </c>
    </row>
    <row r="20" spans="1:6" x14ac:dyDescent="0.35">
      <c r="A20" s="73">
        <v>18</v>
      </c>
      <c r="B20" s="7" t="s">
        <v>74</v>
      </c>
      <c r="C20" s="7" t="s">
        <v>15</v>
      </c>
      <c r="D20" s="41"/>
    </row>
    <row r="21" spans="1:6" x14ac:dyDescent="0.35">
      <c r="A21" s="73">
        <v>19</v>
      </c>
      <c r="B21" s="8" t="s">
        <v>77</v>
      </c>
      <c r="C21" s="8" t="s">
        <v>19</v>
      </c>
      <c r="D21" s="41"/>
    </row>
    <row r="22" spans="1:6" x14ac:dyDescent="0.35">
      <c r="A22" s="73">
        <v>20</v>
      </c>
      <c r="B22" s="8" t="s">
        <v>80</v>
      </c>
      <c r="C22" s="8" t="s">
        <v>19</v>
      </c>
      <c r="D22" s="41"/>
    </row>
    <row r="23" spans="1:6" x14ac:dyDescent="0.35">
      <c r="A23" s="73">
        <v>21</v>
      </c>
      <c r="B23" s="9" t="s">
        <v>79</v>
      </c>
      <c r="C23" s="9" t="s">
        <v>20</v>
      </c>
      <c r="D23" s="40"/>
    </row>
    <row r="24" spans="1:6" x14ac:dyDescent="0.35">
      <c r="A24" s="73">
        <v>22</v>
      </c>
      <c r="B24" s="11" t="s">
        <v>125</v>
      </c>
      <c r="C24" s="11" t="s">
        <v>17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49" t="s">
        <v>81</v>
      </c>
      <c r="C28" s="49" t="s">
        <v>21</v>
      </c>
      <c r="D28" s="49" t="s">
        <v>703</v>
      </c>
      <c r="E28" s="52"/>
      <c r="F28" s="49">
        <v>25</v>
      </c>
    </row>
    <row r="29" spans="1:6" x14ac:dyDescent="0.35">
      <c r="A29" s="73">
        <v>2</v>
      </c>
      <c r="B29" s="2" t="s">
        <v>63</v>
      </c>
      <c r="C29" s="2" t="s">
        <v>21</v>
      </c>
      <c r="D29" s="51" t="s">
        <v>702</v>
      </c>
      <c r="E29" s="17"/>
      <c r="F29" s="2">
        <v>19</v>
      </c>
    </row>
    <row r="30" spans="1:6" x14ac:dyDescent="0.35">
      <c r="A30" s="73">
        <v>3</v>
      </c>
      <c r="B30" s="3" t="s">
        <v>61</v>
      </c>
      <c r="C30" s="3" t="s">
        <v>11</v>
      </c>
      <c r="D30" s="3" t="s">
        <v>704</v>
      </c>
      <c r="E30" s="15"/>
      <c r="F30" s="3">
        <v>15</v>
      </c>
    </row>
    <row r="31" spans="1:6" x14ac:dyDescent="0.35">
      <c r="A31" s="73">
        <v>4</v>
      </c>
      <c r="B31" s="4" t="s">
        <v>64</v>
      </c>
      <c r="C31" s="4" t="s">
        <v>12</v>
      </c>
      <c r="D31" s="4" t="s">
        <v>432</v>
      </c>
      <c r="E31" s="18"/>
      <c r="F31" s="4">
        <v>12</v>
      </c>
    </row>
    <row r="32" spans="1:6" x14ac:dyDescent="0.35">
      <c r="A32" s="73">
        <v>5</v>
      </c>
      <c r="B32" s="5" t="s">
        <v>62</v>
      </c>
      <c r="C32" s="5" t="s">
        <v>13</v>
      </c>
      <c r="D32" s="5" t="s">
        <v>705</v>
      </c>
      <c r="E32" s="16"/>
      <c r="F32" s="5">
        <v>10</v>
      </c>
    </row>
    <row r="33" spans="1:6" x14ac:dyDescent="0.35">
      <c r="A33" s="73">
        <v>6</v>
      </c>
      <c r="B33" s="5" t="s">
        <v>68</v>
      </c>
      <c r="C33" s="5" t="s">
        <v>13</v>
      </c>
      <c r="D33" s="5" t="s">
        <v>706</v>
      </c>
      <c r="E33" s="16"/>
      <c r="F33" s="5">
        <v>8</v>
      </c>
    </row>
    <row r="34" spans="1:6" x14ac:dyDescent="0.35">
      <c r="A34" s="73">
        <v>7</v>
      </c>
      <c r="B34" s="3" t="s">
        <v>65</v>
      </c>
      <c r="C34" s="3" t="s">
        <v>11</v>
      </c>
      <c r="D34" s="3" t="s">
        <v>707</v>
      </c>
      <c r="E34" s="15"/>
      <c r="F34" s="3">
        <v>6</v>
      </c>
    </row>
    <row r="35" spans="1:6" x14ac:dyDescent="0.35">
      <c r="A35" s="73">
        <v>8</v>
      </c>
      <c r="B35" s="4" t="s">
        <v>71</v>
      </c>
      <c r="C35" s="4" t="s">
        <v>12</v>
      </c>
      <c r="D35" s="4" t="s">
        <v>709</v>
      </c>
      <c r="E35" s="18"/>
      <c r="F35" s="4">
        <v>4</v>
      </c>
    </row>
    <row r="36" spans="1:6" x14ac:dyDescent="0.35">
      <c r="A36" s="73">
        <v>9</v>
      </c>
      <c r="B36" s="12" t="s">
        <v>67</v>
      </c>
      <c r="C36" s="12" t="s">
        <v>18</v>
      </c>
      <c r="D36" s="12" t="s">
        <v>708</v>
      </c>
      <c r="E36" s="20"/>
      <c r="F36" s="12">
        <v>2</v>
      </c>
    </row>
    <row r="37" spans="1:6" x14ac:dyDescent="0.35">
      <c r="A37" s="73">
        <v>10</v>
      </c>
      <c r="B37" s="10" t="s">
        <v>73</v>
      </c>
      <c r="C37" s="10" t="s">
        <v>16</v>
      </c>
      <c r="D37" s="10" t="s">
        <v>710</v>
      </c>
      <c r="E37" s="21"/>
      <c r="F37" s="10">
        <v>1</v>
      </c>
    </row>
    <row r="38" spans="1:6" x14ac:dyDescent="0.35">
      <c r="A38" s="73">
        <v>11</v>
      </c>
      <c r="B38" s="6" t="s">
        <v>72</v>
      </c>
      <c r="C38" s="6" t="s">
        <v>14</v>
      </c>
      <c r="D38" s="6" t="s">
        <v>711</v>
      </c>
      <c r="E38" s="22"/>
      <c r="F38" s="6">
        <v>0</v>
      </c>
    </row>
    <row r="39" spans="1:6" x14ac:dyDescent="0.35">
      <c r="A39" s="73">
        <v>12</v>
      </c>
      <c r="B39" s="7" t="s">
        <v>66</v>
      </c>
      <c r="C39" s="7" t="s">
        <v>15</v>
      </c>
      <c r="D39" s="7" t="s">
        <v>714</v>
      </c>
      <c r="E39" s="19"/>
      <c r="F39" s="7">
        <v>0</v>
      </c>
    </row>
    <row r="40" spans="1:6" x14ac:dyDescent="0.35">
      <c r="A40" s="73">
        <v>13</v>
      </c>
      <c r="B40" s="10" t="s">
        <v>70</v>
      </c>
      <c r="C40" s="10" t="s">
        <v>16</v>
      </c>
      <c r="D40" s="10" t="s">
        <v>712</v>
      </c>
      <c r="E40" s="21"/>
      <c r="F40" s="10">
        <v>0</v>
      </c>
    </row>
    <row r="41" spans="1:6" x14ac:dyDescent="0.35">
      <c r="A41" s="73">
        <v>14</v>
      </c>
      <c r="B41" s="6" t="s">
        <v>78</v>
      </c>
      <c r="C41" s="6" t="s">
        <v>14</v>
      </c>
      <c r="D41" s="6" t="s">
        <v>715</v>
      </c>
      <c r="E41" s="22"/>
      <c r="F41" s="6">
        <v>0</v>
      </c>
    </row>
    <row r="42" spans="1:6" x14ac:dyDescent="0.35">
      <c r="A42" s="73">
        <v>15</v>
      </c>
      <c r="B42" s="9" t="s">
        <v>75</v>
      </c>
      <c r="C42" s="9" t="s">
        <v>20</v>
      </c>
      <c r="D42" s="9" t="s">
        <v>716</v>
      </c>
      <c r="E42" s="23"/>
      <c r="F42" s="9">
        <v>0</v>
      </c>
    </row>
    <row r="43" spans="1:6" x14ac:dyDescent="0.35">
      <c r="A43" s="73">
        <v>16</v>
      </c>
      <c r="B43" s="11" t="s">
        <v>125</v>
      </c>
      <c r="C43" s="11" t="s">
        <v>17</v>
      </c>
      <c r="D43" s="11" t="s">
        <v>717</v>
      </c>
      <c r="E43" s="24"/>
      <c r="F43" s="11">
        <v>0</v>
      </c>
    </row>
    <row r="44" spans="1:6" x14ac:dyDescent="0.35">
      <c r="A44" s="73">
        <v>17</v>
      </c>
      <c r="B44" s="11" t="s">
        <v>76</v>
      </c>
      <c r="C44" s="11" t="s">
        <v>17</v>
      </c>
      <c r="D44" s="11" t="s">
        <v>713</v>
      </c>
      <c r="E44" s="24"/>
      <c r="F44" s="11">
        <v>0</v>
      </c>
    </row>
    <row r="45" spans="1:6" x14ac:dyDescent="0.35">
      <c r="A45" s="73">
        <v>18</v>
      </c>
      <c r="B45" s="9" t="s">
        <v>79</v>
      </c>
      <c r="C45" s="9" t="s">
        <v>20</v>
      </c>
      <c r="D45" s="9" t="s">
        <v>718</v>
      </c>
      <c r="E45" s="23" t="s">
        <v>122</v>
      </c>
      <c r="F45" s="9">
        <v>0</v>
      </c>
    </row>
    <row r="46" spans="1:6" x14ac:dyDescent="0.35">
      <c r="A46" s="73">
        <v>19</v>
      </c>
      <c r="B46" s="8" t="s">
        <v>80</v>
      </c>
      <c r="C46" s="8" t="s">
        <v>19</v>
      </c>
      <c r="D46" s="8" t="s">
        <v>719</v>
      </c>
      <c r="E46" s="25" t="s">
        <v>123</v>
      </c>
      <c r="F46" s="8">
        <v>0</v>
      </c>
    </row>
    <row r="47" spans="1:6" x14ac:dyDescent="0.35">
      <c r="A47" s="73">
        <v>20</v>
      </c>
      <c r="B47" s="12" t="s">
        <v>69</v>
      </c>
      <c r="C47" s="12" t="s">
        <v>18</v>
      </c>
      <c r="D47" s="12" t="s">
        <v>720</v>
      </c>
      <c r="E47" s="20" t="s">
        <v>124</v>
      </c>
      <c r="F47" s="12">
        <v>0</v>
      </c>
    </row>
    <row r="48" spans="1:6" x14ac:dyDescent="0.35">
      <c r="A48" s="73">
        <v>21</v>
      </c>
      <c r="B48" s="8" t="s">
        <v>77</v>
      </c>
      <c r="C48" s="8" t="s">
        <v>19</v>
      </c>
      <c r="D48" s="8" t="s">
        <v>721</v>
      </c>
      <c r="E48" s="25" t="s">
        <v>124</v>
      </c>
      <c r="F48" s="8">
        <v>0</v>
      </c>
    </row>
    <row r="49" spans="1:6" x14ac:dyDescent="0.35">
      <c r="A49" s="73">
        <v>22</v>
      </c>
      <c r="B49" s="7" t="s">
        <v>74</v>
      </c>
      <c r="C49" s="7" t="s">
        <v>15</v>
      </c>
      <c r="D49" s="7" t="s">
        <v>722</v>
      </c>
      <c r="E49" s="19" t="s">
        <v>124</v>
      </c>
      <c r="F49" s="7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 t="shared" ref="C53:C63" si="0">SUMIF($C$28:$C$49,B53,$F$28:$F$49)</f>
        <v>44</v>
      </c>
    </row>
    <row r="54" spans="1:6" x14ac:dyDescent="0.35">
      <c r="A54" s="73">
        <v>2</v>
      </c>
      <c r="B54" s="3" t="s">
        <v>11</v>
      </c>
      <c r="C54" s="3">
        <f t="shared" si="0"/>
        <v>21</v>
      </c>
    </row>
    <row r="55" spans="1:6" x14ac:dyDescent="0.35">
      <c r="A55" s="73">
        <v>3</v>
      </c>
      <c r="B55" s="5" t="s">
        <v>13</v>
      </c>
      <c r="C55" s="5">
        <f t="shared" si="0"/>
        <v>18</v>
      </c>
    </row>
    <row r="56" spans="1:6" x14ac:dyDescent="0.35">
      <c r="A56" s="73">
        <v>4</v>
      </c>
      <c r="B56" s="4" t="s">
        <v>12</v>
      </c>
      <c r="C56" s="4">
        <f t="shared" si="0"/>
        <v>16</v>
      </c>
    </row>
    <row r="57" spans="1:6" x14ac:dyDescent="0.35">
      <c r="A57" s="73">
        <v>5</v>
      </c>
      <c r="B57" s="12" t="s">
        <v>18</v>
      </c>
      <c r="C57" s="12">
        <f t="shared" si="0"/>
        <v>2</v>
      </c>
    </row>
    <row r="58" spans="1:6" x14ac:dyDescent="0.35">
      <c r="A58" s="73">
        <v>6</v>
      </c>
      <c r="B58" s="10" t="s">
        <v>16</v>
      </c>
      <c r="C58" s="10">
        <f t="shared" si="0"/>
        <v>1</v>
      </c>
    </row>
    <row r="59" spans="1:6" x14ac:dyDescent="0.35">
      <c r="A59" s="73">
        <v>7</v>
      </c>
      <c r="B59" s="7" t="s">
        <v>15</v>
      </c>
      <c r="C59" s="7">
        <f t="shared" si="0"/>
        <v>0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ADBE-F90E-444B-9AA3-911B2E42C3BD}">
  <dimension ref="A1:F63"/>
  <sheetViews>
    <sheetView topLeftCell="A31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49" t="s">
        <v>63</v>
      </c>
      <c r="C3" s="49" t="s">
        <v>21</v>
      </c>
      <c r="D3" s="40"/>
    </row>
    <row r="4" spans="1:4" x14ac:dyDescent="0.35">
      <c r="A4" s="73">
        <v>2</v>
      </c>
      <c r="B4" s="3" t="s">
        <v>61</v>
      </c>
      <c r="C4" s="3" t="s">
        <v>11</v>
      </c>
      <c r="D4" s="40"/>
    </row>
    <row r="5" spans="1:4" x14ac:dyDescent="0.35">
      <c r="A5" s="73">
        <v>3</v>
      </c>
      <c r="B5" s="12" t="s">
        <v>67</v>
      </c>
      <c r="C5" s="12" t="s">
        <v>18</v>
      </c>
      <c r="D5" s="41"/>
    </row>
    <row r="6" spans="1:4" x14ac:dyDescent="0.35">
      <c r="A6" s="73">
        <v>4</v>
      </c>
      <c r="B6" s="4" t="s">
        <v>64</v>
      </c>
      <c r="C6" s="4" t="s">
        <v>12</v>
      </c>
      <c r="D6" s="41"/>
    </row>
    <row r="7" spans="1:4" x14ac:dyDescent="0.35">
      <c r="A7" s="73">
        <v>5</v>
      </c>
      <c r="B7" s="4" t="s">
        <v>71</v>
      </c>
      <c r="C7" s="4" t="s">
        <v>12</v>
      </c>
    </row>
    <row r="8" spans="1:4" x14ac:dyDescent="0.35">
      <c r="A8" s="73">
        <v>6</v>
      </c>
      <c r="B8" s="7" t="s">
        <v>66</v>
      </c>
      <c r="C8" s="7" t="s">
        <v>15</v>
      </c>
      <c r="D8" s="40"/>
    </row>
    <row r="9" spans="1:4" x14ac:dyDescent="0.35">
      <c r="A9" s="73">
        <v>7</v>
      </c>
      <c r="B9" s="5" t="s">
        <v>68</v>
      </c>
      <c r="C9" s="5" t="s">
        <v>13</v>
      </c>
    </row>
    <row r="10" spans="1:4" x14ac:dyDescent="0.35">
      <c r="A10" s="73">
        <v>8</v>
      </c>
      <c r="B10" s="10" t="s">
        <v>73</v>
      </c>
      <c r="C10" s="10" t="s">
        <v>16</v>
      </c>
      <c r="D10" s="40"/>
    </row>
    <row r="11" spans="1:4" x14ac:dyDescent="0.35">
      <c r="A11" s="73">
        <v>9</v>
      </c>
      <c r="B11" s="7" t="s">
        <v>74</v>
      </c>
      <c r="C11" s="7" t="s">
        <v>15</v>
      </c>
      <c r="D11" s="41"/>
    </row>
    <row r="12" spans="1:4" x14ac:dyDescent="0.35">
      <c r="A12" s="73">
        <v>10</v>
      </c>
      <c r="B12" s="6" t="s">
        <v>72</v>
      </c>
      <c r="C12" s="6" t="s">
        <v>14</v>
      </c>
      <c r="D12" s="41"/>
    </row>
    <row r="13" spans="1:4" x14ac:dyDescent="0.35">
      <c r="A13" s="73">
        <v>11</v>
      </c>
      <c r="B13" s="90" t="s">
        <v>70</v>
      </c>
      <c r="C13" s="90" t="s">
        <v>16</v>
      </c>
      <c r="D13" s="41"/>
    </row>
    <row r="14" spans="1:4" x14ac:dyDescent="0.35">
      <c r="A14" s="73">
        <v>12</v>
      </c>
      <c r="B14" s="11" t="s">
        <v>76</v>
      </c>
      <c r="C14" s="11" t="s">
        <v>17</v>
      </c>
      <c r="D14" s="41"/>
    </row>
    <row r="15" spans="1:4" x14ac:dyDescent="0.35">
      <c r="A15" s="73">
        <v>13</v>
      </c>
      <c r="B15" s="53" t="s">
        <v>81</v>
      </c>
      <c r="C15" s="53" t="s">
        <v>21</v>
      </c>
      <c r="D15" s="41"/>
    </row>
    <row r="16" spans="1:4" x14ac:dyDescent="0.35">
      <c r="A16" s="73">
        <v>14</v>
      </c>
      <c r="B16" s="65" t="s">
        <v>62</v>
      </c>
      <c r="C16" s="65" t="s">
        <v>13</v>
      </c>
      <c r="D16" s="40"/>
    </row>
    <row r="17" spans="1:6" x14ac:dyDescent="0.35">
      <c r="A17" s="73">
        <v>15</v>
      </c>
      <c r="B17" s="8" t="s">
        <v>77</v>
      </c>
      <c r="C17" s="8" t="s">
        <v>19</v>
      </c>
      <c r="D17" s="41"/>
    </row>
    <row r="18" spans="1:6" x14ac:dyDescent="0.35">
      <c r="A18" s="73">
        <v>16</v>
      </c>
      <c r="B18" s="9" t="s">
        <v>79</v>
      </c>
      <c r="C18" s="9" t="s">
        <v>20</v>
      </c>
      <c r="D18" s="40"/>
    </row>
    <row r="19" spans="1:6" x14ac:dyDescent="0.35">
      <c r="A19" s="73">
        <v>17</v>
      </c>
      <c r="B19" s="8" t="s">
        <v>80</v>
      </c>
      <c r="C19" s="8" t="s">
        <v>19</v>
      </c>
    </row>
    <row r="20" spans="1:6" x14ac:dyDescent="0.35">
      <c r="A20" s="73">
        <v>18</v>
      </c>
      <c r="B20" s="6" t="s">
        <v>78</v>
      </c>
      <c r="C20" s="6" t="s">
        <v>14</v>
      </c>
      <c r="D20" s="41"/>
    </row>
    <row r="21" spans="1:6" x14ac:dyDescent="0.35">
      <c r="A21" s="73">
        <v>19</v>
      </c>
      <c r="B21" s="11" t="s">
        <v>125</v>
      </c>
      <c r="C21" s="11" t="s">
        <v>17</v>
      </c>
      <c r="D21" s="41"/>
    </row>
    <row r="22" spans="1:6" x14ac:dyDescent="0.35">
      <c r="A22" s="73">
        <v>20</v>
      </c>
      <c r="B22" s="89" t="s">
        <v>75</v>
      </c>
      <c r="C22" s="89" t="s">
        <v>20</v>
      </c>
      <c r="D22" s="41"/>
    </row>
    <row r="23" spans="1:6" x14ac:dyDescent="0.35">
      <c r="A23" s="73">
        <v>21</v>
      </c>
      <c r="B23" s="88" t="s">
        <v>69</v>
      </c>
      <c r="C23" s="88" t="s">
        <v>18</v>
      </c>
      <c r="D23" s="40"/>
    </row>
    <row r="24" spans="1:6" x14ac:dyDescent="0.35">
      <c r="A24" s="73">
        <v>22</v>
      </c>
      <c r="B24" s="63" t="s">
        <v>65</v>
      </c>
      <c r="C24" s="63" t="s">
        <v>11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51" t="s">
        <v>744</v>
      </c>
      <c r="E28" s="17" t="s">
        <v>723</v>
      </c>
      <c r="F28" s="2">
        <v>26</v>
      </c>
    </row>
    <row r="29" spans="1:6" x14ac:dyDescent="0.35">
      <c r="A29" s="73">
        <v>2</v>
      </c>
      <c r="B29" s="4" t="s">
        <v>71</v>
      </c>
      <c r="C29" s="4" t="s">
        <v>12</v>
      </c>
      <c r="D29" s="4" t="s">
        <v>746</v>
      </c>
      <c r="E29" s="18" t="s">
        <v>724</v>
      </c>
      <c r="F29" s="4">
        <v>18</v>
      </c>
    </row>
    <row r="30" spans="1:6" x14ac:dyDescent="0.35">
      <c r="A30" s="73">
        <v>3</v>
      </c>
      <c r="B30" s="4" t="s">
        <v>64</v>
      </c>
      <c r="C30" s="4" t="s">
        <v>12</v>
      </c>
      <c r="D30" s="4" t="s">
        <v>747</v>
      </c>
      <c r="E30" s="18" t="s">
        <v>725</v>
      </c>
      <c r="F30" s="4">
        <v>15</v>
      </c>
    </row>
    <row r="31" spans="1:6" x14ac:dyDescent="0.35">
      <c r="A31" s="73">
        <v>4</v>
      </c>
      <c r="B31" s="3" t="s">
        <v>61</v>
      </c>
      <c r="C31" s="3" t="s">
        <v>11</v>
      </c>
      <c r="D31" s="3" t="s">
        <v>748</v>
      </c>
      <c r="E31" s="15" t="s">
        <v>726</v>
      </c>
      <c r="F31" s="3">
        <v>12</v>
      </c>
    </row>
    <row r="32" spans="1:6" x14ac:dyDescent="0.35">
      <c r="A32" s="73">
        <v>5</v>
      </c>
      <c r="B32" s="5" t="s">
        <v>68</v>
      </c>
      <c r="C32" s="5" t="s">
        <v>13</v>
      </c>
      <c r="D32" s="5" t="s">
        <v>749</v>
      </c>
      <c r="E32" s="16" t="s">
        <v>727</v>
      </c>
      <c r="F32" s="5">
        <v>10</v>
      </c>
    </row>
    <row r="33" spans="1:6" x14ac:dyDescent="0.35">
      <c r="A33" s="73">
        <v>6</v>
      </c>
      <c r="B33" s="3" t="s">
        <v>65</v>
      </c>
      <c r="C33" s="3" t="s">
        <v>11</v>
      </c>
      <c r="D33" s="3" t="s">
        <v>750</v>
      </c>
      <c r="E33" s="15" t="s">
        <v>728</v>
      </c>
      <c r="F33" s="3">
        <v>8</v>
      </c>
    </row>
    <row r="34" spans="1:6" x14ac:dyDescent="0.35">
      <c r="A34" s="73">
        <v>7</v>
      </c>
      <c r="B34" s="6" t="s">
        <v>72</v>
      </c>
      <c r="C34" s="6" t="s">
        <v>14</v>
      </c>
      <c r="D34" s="6" t="s">
        <v>751</v>
      </c>
      <c r="E34" s="22" t="s">
        <v>729</v>
      </c>
      <c r="F34" s="6">
        <v>6</v>
      </c>
    </row>
    <row r="35" spans="1:6" x14ac:dyDescent="0.35">
      <c r="A35" s="73">
        <v>8</v>
      </c>
      <c r="B35" s="10" t="s">
        <v>70</v>
      </c>
      <c r="C35" s="10" t="s">
        <v>16</v>
      </c>
      <c r="D35" s="10" t="s">
        <v>752</v>
      </c>
      <c r="E35" s="21" t="s">
        <v>730</v>
      </c>
      <c r="F35" s="10">
        <v>4</v>
      </c>
    </row>
    <row r="36" spans="1:6" x14ac:dyDescent="0.35">
      <c r="A36" s="73">
        <v>9</v>
      </c>
      <c r="B36" s="5" t="s">
        <v>62</v>
      </c>
      <c r="C36" s="5" t="s">
        <v>13</v>
      </c>
      <c r="D36" s="5" t="s">
        <v>753</v>
      </c>
      <c r="E36" s="16" t="s">
        <v>731</v>
      </c>
      <c r="F36" s="5">
        <v>2</v>
      </c>
    </row>
    <row r="37" spans="1:6" x14ac:dyDescent="0.35">
      <c r="A37" s="73">
        <v>10</v>
      </c>
      <c r="B37" s="7" t="s">
        <v>66</v>
      </c>
      <c r="C37" s="7" t="s">
        <v>15</v>
      </c>
      <c r="D37" s="7" t="s">
        <v>754</v>
      </c>
      <c r="E37" s="19" t="s">
        <v>732</v>
      </c>
      <c r="F37" s="7">
        <v>1</v>
      </c>
    </row>
    <row r="38" spans="1:6" x14ac:dyDescent="0.35">
      <c r="A38" s="73">
        <v>11</v>
      </c>
      <c r="B38" s="9" t="s">
        <v>75</v>
      </c>
      <c r="C38" s="9" t="s">
        <v>20</v>
      </c>
      <c r="D38" s="9" t="s">
        <v>755</v>
      </c>
      <c r="E38" s="23" t="s">
        <v>733</v>
      </c>
      <c r="F38" s="9">
        <v>0</v>
      </c>
    </row>
    <row r="39" spans="1:6" x14ac:dyDescent="0.35">
      <c r="A39" s="73">
        <v>12</v>
      </c>
      <c r="B39" s="12" t="s">
        <v>69</v>
      </c>
      <c r="C39" s="12" t="s">
        <v>18</v>
      </c>
      <c r="D39" s="12" t="s">
        <v>756</v>
      </c>
      <c r="E39" s="20" t="s">
        <v>734</v>
      </c>
      <c r="F39" s="12">
        <v>0</v>
      </c>
    </row>
    <row r="40" spans="1:6" x14ac:dyDescent="0.35">
      <c r="A40" s="73">
        <v>13</v>
      </c>
      <c r="B40" s="7" t="s">
        <v>74</v>
      </c>
      <c r="C40" s="7" t="s">
        <v>15</v>
      </c>
      <c r="D40" s="7" t="s">
        <v>757</v>
      </c>
      <c r="E40" s="19" t="s">
        <v>735</v>
      </c>
      <c r="F40" s="7">
        <v>0</v>
      </c>
    </row>
    <row r="41" spans="1:6" x14ac:dyDescent="0.35">
      <c r="A41" s="73">
        <v>14</v>
      </c>
      <c r="B41" s="11" t="s">
        <v>125</v>
      </c>
      <c r="C41" s="11" t="s">
        <v>17</v>
      </c>
      <c r="D41" s="11" t="s">
        <v>758</v>
      </c>
      <c r="E41" s="24" t="s">
        <v>736</v>
      </c>
      <c r="F41" s="11">
        <v>0</v>
      </c>
    </row>
    <row r="42" spans="1:6" x14ac:dyDescent="0.35">
      <c r="A42" s="73">
        <v>15</v>
      </c>
      <c r="B42" s="8" t="s">
        <v>80</v>
      </c>
      <c r="C42" s="8" t="s">
        <v>19</v>
      </c>
      <c r="D42" s="8" t="s">
        <v>759</v>
      </c>
      <c r="E42" s="25" t="s">
        <v>737</v>
      </c>
      <c r="F42" s="8">
        <v>0</v>
      </c>
    </row>
    <row r="43" spans="1:6" x14ac:dyDescent="0.35">
      <c r="A43" s="73">
        <v>16</v>
      </c>
      <c r="B43" s="11" t="s">
        <v>76</v>
      </c>
      <c r="C43" s="11" t="s">
        <v>17</v>
      </c>
      <c r="D43" s="11" t="s">
        <v>760</v>
      </c>
      <c r="E43" s="24" t="s">
        <v>738</v>
      </c>
      <c r="F43" s="11">
        <v>0</v>
      </c>
    </row>
    <row r="44" spans="1:6" x14ac:dyDescent="0.35">
      <c r="A44" s="73">
        <v>17</v>
      </c>
      <c r="B44" s="12" t="s">
        <v>67</v>
      </c>
      <c r="C44" s="12" t="s">
        <v>18</v>
      </c>
      <c r="D44" s="12" t="s">
        <v>762</v>
      </c>
      <c r="E44" s="20" t="s">
        <v>739</v>
      </c>
      <c r="F44" s="12">
        <v>0</v>
      </c>
    </row>
    <row r="45" spans="1:6" x14ac:dyDescent="0.35">
      <c r="A45" s="73">
        <v>18</v>
      </c>
      <c r="B45" s="9" t="s">
        <v>79</v>
      </c>
      <c r="C45" s="9" t="s">
        <v>20</v>
      </c>
      <c r="D45" s="9" t="s">
        <v>761</v>
      </c>
      <c r="E45" s="23" t="s">
        <v>740</v>
      </c>
      <c r="F45" s="9">
        <v>0</v>
      </c>
    </row>
    <row r="46" spans="1:6" x14ac:dyDescent="0.35">
      <c r="A46" s="73">
        <v>19</v>
      </c>
      <c r="B46" s="6" t="s">
        <v>78</v>
      </c>
      <c r="C46" s="6" t="s">
        <v>14</v>
      </c>
      <c r="D46" s="6" t="s">
        <v>763</v>
      </c>
      <c r="E46" s="22" t="s">
        <v>741</v>
      </c>
      <c r="F46" s="6">
        <v>0</v>
      </c>
    </row>
    <row r="47" spans="1:6" x14ac:dyDescent="0.35">
      <c r="A47" s="73">
        <v>20</v>
      </c>
      <c r="B47" s="8" t="s">
        <v>77</v>
      </c>
      <c r="C47" s="8" t="s">
        <v>19</v>
      </c>
      <c r="D47" s="8" t="s">
        <v>764</v>
      </c>
      <c r="E47" s="25" t="s">
        <v>742</v>
      </c>
      <c r="F47" s="8">
        <v>0</v>
      </c>
    </row>
    <row r="48" spans="1:6" x14ac:dyDescent="0.35">
      <c r="A48" s="73">
        <v>21</v>
      </c>
      <c r="B48" s="10" t="s">
        <v>73</v>
      </c>
      <c r="C48" s="10" t="s">
        <v>16</v>
      </c>
      <c r="D48" s="10" t="s">
        <v>765</v>
      </c>
      <c r="E48" s="21" t="s">
        <v>743</v>
      </c>
      <c r="F48" s="10">
        <v>0</v>
      </c>
    </row>
    <row r="49" spans="1:6" x14ac:dyDescent="0.35">
      <c r="A49" s="73">
        <v>22</v>
      </c>
      <c r="B49" s="49" t="s">
        <v>81</v>
      </c>
      <c r="C49" s="49" t="s">
        <v>21</v>
      </c>
      <c r="D49" s="49" t="s">
        <v>745</v>
      </c>
      <c r="E49" s="52" t="s">
        <v>124</v>
      </c>
      <c r="F49" s="49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4" t="s">
        <v>12</v>
      </c>
      <c r="C53" s="4">
        <f t="shared" ref="C53:C63" si="0">SUMIF($C$28:$C$47,B53,$F$28:$F$47)</f>
        <v>33</v>
      </c>
    </row>
    <row r="54" spans="1:6" x14ac:dyDescent="0.35">
      <c r="A54" s="73">
        <v>2</v>
      </c>
      <c r="B54" s="2" t="s">
        <v>21</v>
      </c>
      <c r="C54" s="2">
        <f t="shared" si="0"/>
        <v>26</v>
      </c>
    </row>
    <row r="55" spans="1:6" x14ac:dyDescent="0.35">
      <c r="A55" s="73">
        <v>3</v>
      </c>
      <c r="B55" s="3" t="s">
        <v>11</v>
      </c>
      <c r="C55" s="3">
        <f t="shared" si="0"/>
        <v>20</v>
      </c>
    </row>
    <row r="56" spans="1:6" x14ac:dyDescent="0.35">
      <c r="A56" s="73">
        <v>4</v>
      </c>
      <c r="B56" s="5" t="s">
        <v>13</v>
      </c>
      <c r="C56" s="5">
        <f t="shared" si="0"/>
        <v>12</v>
      </c>
    </row>
    <row r="57" spans="1:6" x14ac:dyDescent="0.35">
      <c r="A57" s="73">
        <v>5</v>
      </c>
      <c r="B57" s="6" t="s">
        <v>14</v>
      </c>
      <c r="C57" s="6">
        <f t="shared" si="0"/>
        <v>6</v>
      </c>
    </row>
    <row r="58" spans="1:6" x14ac:dyDescent="0.35">
      <c r="A58" s="73">
        <v>6</v>
      </c>
      <c r="B58" s="10" t="s">
        <v>16</v>
      </c>
      <c r="C58" s="10">
        <f t="shared" si="0"/>
        <v>4</v>
      </c>
    </row>
    <row r="59" spans="1:6" x14ac:dyDescent="0.35">
      <c r="A59" s="73">
        <v>7</v>
      </c>
      <c r="B59" s="7" t="s">
        <v>15</v>
      </c>
      <c r="C59" s="7">
        <f t="shared" si="0"/>
        <v>1</v>
      </c>
    </row>
    <row r="60" spans="1:6" x14ac:dyDescent="0.35">
      <c r="A60" s="73">
        <v>8</v>
      </c>
      <c r="B60" s="9" t="s">
        <v>20</v>
      </c>
      <c r="C60" s="9">
        <f t="shared" si="0"/>
        <v>0</v>
      </c>
    </row>
    <row r="61" spans="1:6" x14ac:dyDescent="0.35">
      <c r="A61" s="73">
        <v>9</v>
      </c>
      <c r="B61" s="8" t="s">
        <v>19</v>
      </c>
      <c r="C61" s="8">
        <f t="shared" si="0"/>
        <v>0</v>
      </c>
    </row>
    <row r="62" spans="1:6" x14ac:dyDescent="0.35">
      <c r="A62" s="73">
        <v>10</v>
      </c>
      <c r="B62" s="12" t="s">
        <v>18</v>
      </c>
      <c r="C62" s="12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3202-6135-4334-B4F1-B6DE1C0AA0D4}">
  <dimension ref="A1:F63"/>
  <sheetViews>
    <sheetView topLeftCell="A25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2.0898437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3" t="s">
        <v>61</v>
      </c>
      <c r="C3" s="3" t="s">
        <v>11</v>
      </c>
      <c r="D3" s="40"/>
    </row>
    <row r="4" spans="1:4" x14ac:dyDescent="0.35">
      <c r="A4" s="73">
        <v>2</v>
      </c>
      <c r="B4" s="4" t="s">
        <v>64</v>
      </c>
      <c r="C4" s="4" t="s">
        <v>12</v>
      </c>
      <c r="D4" s="40"/>
    </row>
    <row r="5" spans="1:4" x14ac:dyDescent="0.35">
      <c r="A5" s="73">
        <v>3</v>
      </c>
      <c r="B5" s="5" t="s">
        <v>62</v>
      </c>
      <c r="C5" s="5" t="s">
        <v>13</v>
      </c>
      <c r="D5" s="41"/>
    </row>
    <row r="6" spans="1:4" x14ac:dyDescent="0.35">
      <c r="A6" s="73">
        <v>4</v>
      </c>
      <c r="B6" s="49" t="s">
        <v>63</v>
      </c>
      <c r="C6" s="49" t="s">
        <v>21</v>
      </c>
      <c r="D6" s="41"/>
    </row>
    <row r="7" spans="1:4" x14ac:dyDescent="0.35">
      <c r="A7" s="73">
        <v>5</v>
      </c>
      <c r="B7" s="3" t="s">
        <v>65</v>
      </c>
      <c r="C7" s="3" t="s">
        <v>11</v>
      </c>
    </row>
    <row r="8" spans="1:4" x14ac:dyDescent="0.35">
      <c r="A8" s="73">
        <v>6</v>
      </c>
      <c r="B8" s="4" t="s">
        <v>71</v>
      </c>
      <c r="C8" s="4" t="s">
        <v>12</v>
      </c>
      <c r="D8" s="40"/>
    </row>
    <row r="9" spans="1:4" x14ac:dyDescent="0.35">
      <c r="A9" s="73">
        <v>7</v>
      </c>
      <c r="B9" s="5" t="s">
        <v>68</v>
      </c>
      <c r="C9" s="5" t="s">
        <v>13</v>
      </c>
    </row>
    <row r="10" spans="1:4" x14ac:dyDescent="0.35">
      <c r="A10" s="73">
        <v>8</v>
      </c>
      <c r="B10" s="10" t="s">
        <v>73</v>
      </c>
      <c r="C10" s="10" t="s">
        <v>16</v>
      </c>
      <c r="D10" s="40"/>
    </row>
    <row r="11" spans="1:4" x14ac:dyDescent="0.35">
      <c r="A11" s="73">
        <v>9</v>
      </c>
      <c r="B11" s="56" t="s">
        <v>70</v>
      </c>
      <c r="C11" s="56" t="s">
        <v>16</v>
      </c>
      <c r="D11" s="41"/>
    </row>
    <row r="12" spans="1:4" x14ac:dyDescent="0.35">
      <c r="A12" s="73">
        <v>10</v>
      </c>
      <c r="B12" s="6" t="s">
        <v>72</v>
      </c>
      <c r="C12" s="6" t="s">
        <v>14</v>
      </c>
      <c r="D12" s="41"/>
    </row>
    <row r="13" spans="1:4" x14ac:dyDescent="0.35">
      <c r="A13" s="73">
        <v>11</v>
      </c>
      <c r="B13" s="53" t="s">
        <v>81</v>
      </c>
      <c r="C13" s="53" t="s">
        <v>21</v>
      </c>
      <c r="D13" s="41"/>
    </row>
    <row r="14" spans="1:4" x14ac:dyDescent="0.35">
      <c r="A14" s="73">
        <v>12</v>
      </c>
      <c r="B14" s="54" t="s">
        <v>69</v>
      </c>
      <c r="C14" s="54" t="s">
        <v>18</v>
      </c>
      <c r="D14" s="41"/>
    </row>
    <row r="15" spans="1:4" x14ac:dyDescent="0.35">
      <c r="A15" s="73">
        <v>13</v>
      </c>
      <c r="B15" s="55" t="s">
        <v>75</v>
      </c>
      <c r="C15" s="55" t="s">
        <v>20</v>
      </c>
      <c r="D15" s="41"/>
    </row>
    <row r="16" spans="1:4" x14ac:dyDescent="0.35">
      <c r="A16" s="73">
        <v>14</v>
      </c>
      <c r="B16" s="7" t="s">
        <v>66</v>
      </c>
      <c r="C16" s="7" t="s">
        <v>15</v>
      </c>
      <c r="D16" s="40"/>
    </row>
    <row r="17" spans="1:6" x14ac:dyDescent="0.35">
      <c r="A17" s="73">
        <v>15</v>
      </c>
      <c r="B17" s="11" t="s">
        <v>76</v>
      </c>
      <c r="C17" s="11" t="s">
        <v>17</v>
      </c>
      <c r="D17" s="41"/>
    </row>
    <row r="18" spans="1:6" x14ac:dyDescent="0.35">
      <c r="A18" s="73">
        <v>16</v>
      </c>
      <c r="B18" s="8" t="s">
        <v>80</v>
      </c>
      <c r="C18" s="8" t="s">
        <v>19</v>
      </c>
      <c r="D18" s="40"/>
    </row>
    <row r="19" spans="1:6" x14ac:dyDescent="0.35">
      <c r="A19" s="73">
        <v>17</v>
      </c>
      <c r="B19" s="88" t="s">
        <v>67</v>
      </c>
      <c r="C19" s="88" t="s">
        <v>18</v>
      </c>
    </row>
    <row r="20" spans="1:6" x14ac:dyDescent="0.35">
      <c r="A20" s="73">
        <v>18</v>
      </c>
      <c r="B20" s="7" t="s">
        <v>74</v>
      </c>
      <c r="C20" s="7" t="s">
        <v>15</v>
      </c>
      <c r="D20" s="41"/>
    </row>
    <row r="21" spans="1:6" x14ac:dyDescent="0.35">
      <c r="A21" s="73">
        <v>19</v>
      </c>
      <c r="B21" s="11" t="s">
        <v>125</v>
      </c>
      <c r="C21" s="11" t="s">
        <v>17</v>
      </c>
      <c r="D21" s="41"/>
    </row>
    <row r="22" spans="1:6" x14ac:dyDescent="0.35">
      <c r="A22" s="73">
        <v>20</v>
      </c>
      <c r="B22" s="8" t="s">
        <v>77</v>
      </c>
      <c r="C22" s="8" t="s">
        <v>19</v>
      </c>
      <c r="D22" s="41"/>
    </row>
    <row r="23" spans="1:6" x14ac:dyDescent="0.35">
      <c r="A23" s="73">
        <v>21</v>
      </c>
      <c r="B23" s="9" t="s">
        <v>79</v>
      </c>
      <c r="C23" s="9" t="s">
        <v>20</v>
      </c>
      <c r="D23" s="40"/>
    </row>
    <row r="24" spans="1:6" x14ac:dyDescent="0.35">
      <c r="A24" s="73">
        <v>22</v>
      </c>
      <c r="B24" s="104" t="s">
        <v>78</v>
      </c>
      <c r="C24" s="104" t="s">
        <v>14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" t="s">
        <v>768</v>
      </c>
      <c r="E28" s="17" t="s">
        <v>788</v>
      </c>
      <c r="F28" s="2">
        <v>25</v>
      </c>
    </row>
    <row r="29" spans="1:6" x14ac:dyDescent="0.35">
      <c r="A29" s="73">
        <v>2</v>
      </c>
      <c r="B29" s="3" t="s">
        <v>61</v>
      </c>
      <c r="C29" s="3" t="s">
        <v>11</v>
      </c>
      <c r="D29" s="3" t="s">
        <v>767</v>
      </c>
      <c r="E29" s="15" t="s">
        <v>789</v>
      </c>
      <c r="F29" s="3">
        <v>18</v>
      </c>
    </row>
    <row r="30" spans="1:6" x14ac:dyDescent="0.35">
      <c r="A30" s="73">
        <v>3</v>
      </c>
      <c r="B30" s="4" t="s">
        <v>64</v>
      </c>
      <c r="C30" s="4" t="s">
        <v>12</v>
      </c>
      <c r="D30" s="4" t="s">
        <v>769</v>
      </c>
      <c r="E30" s="18" t="s">
        <v>790</v>
      </c>
      <c r="F30" s="4">
        <v>15</v>
      </c>
    </row>
    <row r="31" spans="1:6" x14ac:dyDescent="0.35">
      <c r="A31" s="73">
        <v>4</v>
      </c>
      <c r="B31" s="3" t="s">
        <v>65</v>
      </c>
      <c r="C31" s="3" t="s">
        <v>11</v>
      </c>
      <c r="D31" s="3" t="s">
        <v>779</v>
      </c>
      <c r="E31" s="15" t="s">
        <v>791</v>
      </c>
      <c r="F31" s="3">
        <v>12</v>
      </c>
    </row>
    <row r="32" spans="1:6" x14ac:dyDescent="0.35">
      <c r="A32" s="73">
        <v>5</v>
      </c>
      <c r="B32" s="12" t="s">
        <v>67</v>
      </c>
      <c r="C32" s="12" t="s">
        <v>18</v>
      </c>
      <c r="D32" s="12" t="s">
        <v>770</v>
      </c>
      <c r="E32" s="20" t="s">
        <v>792</v>
      </c>
      <c r="F32" s="12">
        <v>10</v>
      </c>
    </row>
    <row r="33" spans="1:6" x14ac:dyDescent="0.35">
      <c r="A33" s="73">
        <v>6</v>
      </c>
      <c r="B33" s="49" t="s">
        <v>81</v>
      </c>
      <c r="C33" s="49" t="s">
        <v>21</v>
      </c>
      <c r="D33" s="49" t="s">
        <v>771</v>
      </c>
      <c r="E33" s="52" t="s">
        <v>793</v>
      </c>
      <c r="F33" s="49">
        <v>8</v>
      </c>
    </row>
    <row r="34" spans="1:6" x14ac:dyDescent="0.35">
      <c r="A34" s="73">
        <v>7</v>
      </c>
      <c r="B34" s="4" t="s">
        <v>71</v>
      </c>
      <c r="C34" s="4" t="s">
        <v>12</v>
      </c>
      <c r="D34" s="4" t="s">
        <v>780</v>
      </c>
      <c r="E34" s="18" t="s">
        <v>239</v>
      </c>
      <c r="F34" s="4">
        <v>6</v>
      </c>
    </row>
    <row r="35" spans="1:6" x14ac:dyDescent="0.35">
      <c r="A35" s="73">
        <v>8</v>
      </c>
      <c r="B35" s="10" t="s">
        <v>70</v>
      </c>
      <c r="C35" s="10" t="s">
        <v>16</v>
      </c>
      <c r="D35" s="10" t="s">
        <v>772</v>
      </c>
      <c r="E35" s="21" t="s">
        <v>794</v>
      </c>
      <c r="F35" s="10">
        <v>4</v>
      </c>
    </row>
    <row r="36" spans="1:6" x14ac:dyDescent="0.35">
      <c r="A36" s="73">
        <v>9</v>
      </c>
      <c r="B36" s="7" t="s">
        <v>66</v>
      </c>
      <c r="C36" s="7" t="s">
        <v>15</v>
      </c>
      <c r="D36" s="7" t="s">
        <v>781</v>
      </c>
      <c r="E36" s="19" t="s">
        <v>795</v>
      </c>
      <c r="F36" s="7">
        <v>2</v>
      </c>
    </row>
    <row r="37" spans="1:6" x14ac:dyDescent="0.35">
      <c r="A37" s="73">
        <v>10</v>
      </c>
      <c r="B37" s="6" t="s">
        <v>72</v>
      </c>
      <c r="C37" s="6" t="s">
        <v>14</v>
      </c>
      <c r="D37" s="6" t="s">
        <v>773</v>
      </c>
      <c r="E37" s="22" t="s">
        <v>796</v>
      </c>
      <c r="F37" s="6">
        <v>1</v>
      </c>
    </row>
    <row r="38" spans="1:6" x14ac:dyDescent="0.35">
      <c r="A38" s="73">
        <v>11</v>
      </c>
      <c r="B38" s="10" t="s">
        <v>73</v>
      </c>
      <c r="C38" s="10" t="s">
        <v>16</v>
      </c>
      <c r="D38" s="10" t="s">
        <v>775</v>
      </c>
      <c r="E38" s="21" t="s">
        <v>797</v>
      </c>
      <c r="F38" s="10">
        <v>0</v>
      </c>
    </row>
    <row r="39" spans="1:6" x14ac:dyDescent="0.35">
      <c r="A39" s="73">
        <v>12</v>
      </c>
      <c r="B39" s="12" t="s">
        <v>69</v>
      </c>
      <c r="C39" s="12" t="s">
        <v>18</v>
      </c>
      <c r="D39" s="51" t="s">
        <v>766</v>
      </c>
      <c r="E39" s="20" t="s">
        <v>798</v>
      </c>
      <c r="F39" s="12">
        <v>0</v>
      </c>
    </row>
    <row r="40" spans="1:6" x14ac:dyDescent="0.35">
      <c r="A40" s="73">
        <v>13</v>
      </c>
      <c r="B40" s="11" t="s">
        <v>76</v>
      </c>
      <c r="C40" s="11" t="s">
        <v>17</v>
      </c>
      <c r="D40" s="11" t="s">
        <v>782</v>
      </c>
      <c r="E40" s="24" t="s">
        <v>799</v>
      </c>
      <c r="F40" s="11">
        <v>0</v>
      </c>
    </row>
    <row r="41" spans="1:6" x14ac:dyDescent="0.35">
      <c r="A41" s="73">
        <v>14</v>
      </c>
      <c r="B41" s="11" t="s">
        <v>125</v>
      </c>
      <c r="C41" s="11" t="s">
        <v>17</v>
      </c>
      <c r="D41" s="11" t="s">
        <v>776</v>
      </c>
      <c r="E41" s="24" t="s">
        <v>800</v>
      </c>
      <c r="F41" s="11">
        <v>0</v>
      </c>
    </row>
    <row r="42" spans="1:6" x14ac:dyDescent="0.35">
      <c r="A42" s="73">
        <v>15</v>
      </c>
      <c r="B42" s="5" t="s">
        <v>62</v>
      </c>
      <c r="C42" s="5" t="s">
        <v>13</v>
      </c>
      <c r="D42" s="5" t="s">
        <v>783</v>
      </c>
      <c r="E42" s="16" t="s">
        <v>801</v>
      </c>
      <c r="F42" s="5">
        <v>0</v>
      </c>
    </row>
    <row r="43" spans="1:6" x14ac:dyDescent="0.35">
      <c r="A43" s="73">
        <v>16</v>
      </c>
      <c r="B43" s="7" t="s">
        <v>74</v>
      </c>
      <c r="C43" s="7" t="s">
        <v>15</v>
      </c>
      <c r="D43" s="7" t="s">
        <v>777</v>
      </c>
      <c r="E43" s="19" t="s">
        <v>122</v>
      </c>
      <c r="F43" s="7">
        <v>0</v>
      </c>
    </row>
    <row r="44" spans="1:6" x14ac:dyDescent="0.35">
      <c r="A44" s="73">
        <v>17</v>
      </c>
      <c r="B44" s="9" t="s">
        <v>79</v>
      </c>
      <c r="C44" s="9" t="s">
        <v>20</v>
      </c>
      <c r="D44" s="9" t="s">
        <v>784</v>
      </c>
      <c r="E44" s="23" t="s">
        <v>122</v>
      </c>
      <c r="F44" s="9">
        <v>0</v>
      </c>
    </row>
    <row r="45" spans="1:6" x14ac:dyDescent="0.35">
      <c r="A45" s="73">
        <v>18</v>
      </c>
      <c r="B45" s="8" t="s">
        <v>80</v>
      </c>
      <c r="C45" s="8" t="s">
        <v>19</v>
      </c>
      <c r="D45" s="8" t="s">
        <v>785</v>
      </c>
      <c r="E45" s="25" t="s">
        <v>122</v>
      </c>
      <c r="F45" s="8">
        <v>0</v>
      </c>
    </row>
    <row r="46" spans="1:6" x14ac:dyDescent="0.35">
      <c r="A46" s="73">
        <v>19</v>
      </c>
      <c r="B46" s="6" t="s">
        <v>78</v>
      </c>
      <c r="C46" s="6" t="s">
        <v>14</v>
      </c>
      <c r="D46" s="6" t="s">
        <v>774</v>
      </c>
      <c r="E46" s="22" t="s">
        <v>122</v>
      </c>
      <c r="F46" s="6">
        <v>0</v>
      </c>
    </row>
    <row r="47" spans="1:6" x14ac:dyDescent="0.35">
      <c r="A47" s="73">
        <v>20</v>
      </c>
      <c r="B47" s="5" t="s">
        <v>68</v>
      </c>
      <c r="C47" s="5" t="s">
        <v>13</v>
      </c>
      <c r="D47" s="5" t="s">
        <v>778</v>
      </c>
      <c r="E47" s="16" t="s">
        <v>124</v>
      </c>
      <c r="F47" s="5">
        <v>0</v>
      </c>
    </row>
    <row r="48" spans="1:6" x14ac:dyDescent="0.35">
      <c r="A48" s="73">
        <v>21</v>
      </c>
      <c r="B48" s="8" t="s">
        <v>77</v>
      </c>
      <c r="C48" s="68" t="s">
        <v>19</v>
      </c>
      <c r="D48" s="8" t="s">
        <v>786</v>
      </c>
      <c r="E48" s="25" t="s">
        <v>124</v>
      </c>
      <c r="F48" s="8">
        <v>0</v>
      </c>
    </row>
    <row r="49" spans="1:6" x14ac:dyDescent="0.35">
      <c r="A49" s="73">
        <v>22</v>
      </c>
      <c r="B49" s="9" t="s">
        <v>75</v>
      </c>
      <c r="C49" s="9" t="s">
        <v>20</v>
      </c>
      <c r="D49" s="9" t="s">
        <v>787</v>
      </c>
      <c r="E49" s="23" t="s">
        <v>124</v>
      </c>
      <c r="F49" s="9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 t="shared" ref="C53:C63" si="0">SUMIF($C$28:$C$49,B53,$F$28:$F$49)</f>
        <v>33</v>
      </c>
    </row>
    <row r="54" spans="1:6" x14ac:dyDescent="0.35">
      <c r="A54" s="73">
        <v>2</v>
      </c>
      <c r="B54" s="3" t="s">
        <v>11</v>
      </c>
      <c r="C54" s="3">
        <f t="shared" si="0"/>
        <v>30</v>
      </c>
    </row>
    <row r="55" spans="1:6" x14ac:dyDescent="0.35">
      <c r="A55" s="73">
        <v>3</v>
      </c>
      <c r="B55" s="4" t="s">
        <v>12</v>
      </c>
      <c r="C55" s="4">
        <f t="shared" si="0"/>
        <v>21</v>
      </c>
    </row>
    <row r="56" spans="1:6" x14ac:dyDescent="0.35">
      <c r="A56" s="73">
        <v>4</v>
      </c>
      <c r="B56" s="12" t="s">
        <v>18</v>
      </c>
      <c r="C56" s="12">
        <f t="shared" si="0"/>
        <v>10</v>
      </c>
    </row>
    <row r="57" spans="1:6" x14ac:dyDescent="0.35">
      <c r="A57" s="73">
        <v>5</v>
      </c>
      <c r="B57" s="10" t="s">
        <v>16</v>
      </c>
      <c r="C57" s="10">
        <f t="shared" si="0"/>
        <v>4</v>
      </c>
    </row>
    <row r="58" spans="1:6" x14ac:dyDescent="0.35">
      <c r="A58" s="73">
        <v>6</v>
      </c>
      <c r="B58" s="7" t="s">
        <v>15</v>
      </c>
      <c r="C58" s="7">
        <f t="shared" si="0"/>
        <v>2</v>
      </c>
    </row>
    <row r="59" spans="1:6" x14ac:dyDescent="0.35">
      <c r="A59" s="73">
        <v>7</v>
      </c>
      <c r="B59" s="6" t="s">
        <v>14</v>
      </c>
      <c r="C59" s="6">
        <f t="shared" si="0"/>
        <v>1</v>
      </c>
    </row>
    <row r="60" spans="1:6" x14ac:dyDescent="0.35">
      <c r="A60" s="73">
        <v>8</v>
      </c>
      <c r="B60" s="9" t="s">
        <v>20</v>
      </c>
      <c r="C60" s="9">
        <f t="shared" si="0"/>
        <v>0</v>
      </c>
    </row>
    <row r="61" spans="1:6" x14ac:dyDescent="0.35">
      <c r="A61" s="73">
        <v>9</v>
      </c>
      <c r="B61" s="5" t="s">
        <v>13</v>
      </c>
      <c r="C61" s="5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2E00-7D95-4421-9D34-A607AF17EACD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15.36328125" bestFit="1" customWidth="1"/>
    <col min="2" max="2" width="40.08984375" bestFit="1" customWidth="1"/>
    <col min="3" max="3" width="5.26953125" bestFit="1" customWidth="1"/>
    <col min="4" max="4" width="1.6328125" customWidth="1"/>
    <col min="5" max="5" width="40.08984375" bestFit="1" customWidth="1"/>
    <col min="6" max="6" width="10.453125" bestFit="1" customWidth="1"/>
  </cols>
  <sheetData>
    <row r="1" spans="1:3" s="61" customFormat="1" x14ac:dyDescent="0.35">
      <c r="A1" s="96" t="s">
        <v>1170</v>
      </c>
      <c r="B1" s="96"/>
      <c r="C1" s="96"/>
    </row>
    <row r="2" spans="1:3" x14ac:dyDescent="0.35">
      <c r="A2" s="73" t="s">
        <v>349</v>
      </c>
      <c r="B2" s="73" t="s">
        <v>27</v>
      </c>
      <c r="C2" s="73" t="s">
        <v>0</v>
      </c>
    </row>
    <row r="3" spans="1:3" x14ac:dyDescent="0.35">
      <c r="A3" s="73">
        <v>1</v>
      </c>
      <c r="B3" s="63" t="s">
        <v>61</v>
      </c>
      <c r="C3" s="63" t="s">
        <v>11</v>
      </c>
    </row>
    <row r="4" spans="1:3" x14ac:dyDescent="0.35">
      <c r="A4" s="73">
        <v>2</v>
      </c>
      <c r="B4" s="64" t="s">
        <v>64</v>
      </c>
      <c r="C4" s="64" t="s">
        <v>12</v>
      </c>
    </row>
    <row r="5" spans="1:3" x14ac:dyDescent="0.35">
      <c r="A5" s="73">
        <v>3</v>
      </c>
      <c r="B5" s="65" t="s">
        <v>62</v>
      </c>
      <c r="C5" s="65" t="s">
        <v>13</v>
      </c>
    </row>
    <row r="6" spans="1:3" x14ac:dyDescent="0.35">
      <c r="A6" s="73">
        <v>4</v>
      </c>
      <c r="B6" s="85" t="s">
        <v>63</v>
      </c>
      <c r="C6" s="85" t="s">
        <v>21</v>
      </c>
    </row>
    <row r="7" spans="1:3" x14ac:dyDescent="0.35">
      <c r="A7" s="73">
        <v>5</v>
      </c>
      <c r="B7" s="63" t="s">
        <v>65</v>
      </c>
      <c r="C7" s="63" t="s">
        <v>11</v>
      </c>
    </row>
    <row r="8" spans="1:3" x14ac:dyDescent="0.35">
      <c r="A8" s="73">
        <v>6</v>
      </c>
      <c r="B8" s="64" t="s">
        <v>71</v>
      </c>
      <c r="C8" s="64" t="s">
        <v>12</v>
      </c>
    </row>
    <row r="9" spans="1:3" x14ac:dyDescent="0.35">
      <c r="A9" s="73">
        <v>7</v>
      </c>
      <c r="B9" s="65" t="s">
        <v>68</v>
      </c>
      <c r="C9" s="65" t="s">
        <v>13</v>
      </c>
    </row>
    <row r="10" spans="1:3" x14ac:dyDescent="0.35">
      <c r="A10" s="73">
        <v>8</v>
      </c>
      <c r="B10" s="70" t="s">
        <v>73</v>
      </c>
      <c r="C10" s="70" t="s">
        <v>16</v>
      </c>
    </row>
    <row r="11" spans="1:3" x14ac:dyDescent="0.35">
      <c r="A11" s="73">
        <v>9</v>
      </c>
      <c r="B11" s="90" t="s">
        <v>70</v>
      </c>
      <c r="C11" s="90" t="s">
        <v>16</v>
      </c>
    </row>
    <row r="12" spans="1:3" x14ac:dyDescent="0.35">
      <c r="A12" s="73">
        <v>10</v>
      </c>
      <c r="B12" s="66" t="s">
        <v>72</v>
      </c>
      <c r="C12" s="66" t="s">
        <v>14</v>
      </c>
    </row>
    <row r="13" spans="1:3" x14ac:dyDescent="0.35">
      <c r="A13" s="73">
        <v>11</v>
      </c>
      <c r="B13" s="53" t="s">
        <v>81</v>
      </c>
      <c r="C13" s="53" t="s">
        <v>21</v>
      </c>
    </row>
    <row r="14" spans="1:3" x14ac:dyDescent="0.35">
      <c r="A14" s="73">
        <v>12</v>
      </c>
      <c r="B14" s="88" t="s">
        <v>69</v>
      </c>
      <c r="C14" s="88" t="s">
        <v>18</v>
      </c>
    </row>
    <row r="15" spans="1:3" x14ac:dyDescent="0.35">
      <c r="A15" s="73">
        <v>13</v>
      </c>
      <c r="B15" s="89" t="s">
        <v>75</v>
      </c>
      <c r="C15" s="89" t="s">
        <v>20</v>
      </c>
    </row>
    <row r="16" spans="1:3" x14ac:dyDescent="0.35">
      <c r="A16" s="73">
        <v>14</v>
      </c>
      <c r="B16" s="67" t="s">
        <v>66</v>
      </c>
      <c r="C16" s="67" t="s">
        <v>15</v>
      </c>
    </row>
    <row r="17" spans="1:6" x14ac:dyDescent="0.35">
      <c r="A17" s="73">
        <v>15</v>
      </c>
      <c r="B17" s="71" t="s">
        <v>76</v>
      </c>
      <c r="C17" s="71" t="s">
        <v>17</v>
      </c>
    </row>
    <row r="18" spans="1:6" x14ac:dyDescent="0.35">
      <c r="A18" s="73">
        <v>16</v>
      </c>
      <c r="B18" s="68" t="s">
        <v>80</v>
      </c>
      <c r="C18" s="68" t="s">
        <v>19</v>
      </c>
    </row>
    <row r="19" spans="1:6" x14ac:dyDescent="0.35">
      <c r="A19" s="73">
        <v>17</v>
      </c>
      <c r="B19" s="88" t="s">
        <v>67</v>
      </c>
      <c r="C19" s="88" t="s">
        <v>18</v>
      </c>
    </row>
    <row r="20" spans="1:6" x14ac:dyDescent="0.35">
      <c r="A20" s="73">
        <v>18</v>
      </c>
      <c r="B20" s="67" t="s">
        <v>74</v>
      </c>
      <c r="C20" s="67" t="s">
        <v>15</v>
      </c>
    </row>
    <row r="21" spans="1:6" x14ac:dyDescent="0.35">
      <c r="A21" s="73">
        <v>19</v>
      </c>
      <c r="B21" s="71" t="s">
        <v>125</v>
      </c>
      <c r="C21" s="71" t="s">
        <v>17</v>
      </c>
    </row>
    <row r="22" spans="1:6" x14ac:dyDescent="0.35">
      <c r="A22" s="73">
        <v>20</v>
      </c>
      <c r="B22" s="68" t="s">
        <v>77</v>
      </c>
      <c r="C22" s="68" t="s">
        <v>19</v>
      </c>
    </row>
    <row r="23" spans="1:6" x14ac:dyDescent="0.35">
      <c r="A23" s="73">
        <v>21</v>
      </c>
      <c r="B23" s="69" t="s">
        <v>79</v>
      </c>
      <c r="C23" s="69" t="s">
        <v>20</v>
      </c>
    </row>
    <row r="24" spans="1:6" x14ac:dyDescent="0.35">
      <c r="A24" s="73">
        <v>22</v>
      </c>
      <c r="B24" s="104" t="s">
        <v>78</v>
      </c>
      <c r="C24" s="104" t="s">
        <v>14</v>
      </c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73" t="s">
        <v>85</v>
      </c>
      <c r="E27" s="73" t="s">
        <v>86</v>
      </c>
      <c r="F27" s="13" t="s">
        <v>28</v>
      </c>
    </row>
    <row r="28" spans="1:6" x14ac:dyDescent="0.35">
      <c r="A28" s="73">
        <v>1</v>
      </c>
      <c r="B28" s="3" t="s">
        <v>61</v>
      </c>
      <c r="C28" s="3" t="s">
        <v>11</v>
      </c>
      <c r="D28" s="63" t="s">
        <v>1091</v>
      </c>
      <c r="E28" s="74" t="s">
        <v>1090</v>
      </c>
      <c r="F28" s="3">
        <v>25</v>
      </c>
    </row>
    <row r="29" spans="1:6" x14ac:dyDescent="0.35">
      <c r="A29" s="73">
        <v>2</v>
      </c>
      <c r="B29" s="3" t="s">
        <v>65</v>
      </c>
      <c r="C29" s="63" t="s">
        <v>11</v>
      </c>
      <c r="D29" s="86" t="s">
        <v>1092</v>
      </c>
      <c r="E29" s="74" t="s">
        <v>1112</v>
      </c>
      <c r="F29" s="63">
        <v>19</v>
      </c>
    </row>
    <row r="30" spans="1:6" x14ac:dyDescent="0.35">
      <c r="A30" s="73">
        <v>3</v>
      </c>
      <c r="B30" s="4" t="s">
        <v>64</v>
      </c>
      <c r="C30" s="4" t="s">
        <v>12</v>
      </c>
      <c r="D30" s="64" t="s">
        <v>1093</v>
      </c>
      <c r="E30" s="77" t="s">
        <v>1113</v>
      </c>
      <c r="F30" s="4">
        <v>15</v>
      </c>
    </row>
    <row r="31" spans="1:6" x14ac:dyDescent="0.35">
      <c r="A31" s="73">
        <v>4</v>
      </c>
      <c r="B31" s="5" t="s">
        <v>62</v>
      </c>
      <c r="C31" s="5" t="s">
        <v>13</v>
      </c>
      <c r="D31" s="65" t="s">
        <v>1094</v>
      </c>
      <c r="E31" s="75" t="s">
        <v>1114</v>
      </c>
      <c r="F31" s="5">
        <v>12</v>
      </c>
    </row>
    <row r="32" spans="1:6" x14ac:dyDescent="0.35">
      <c r="A32" s="73">
        <v>5</v>
      </c>
      <c r="B32" s="5" t="s">
        <v>68</v>
      </c>
      <c r="C32" s="5" t="s">
        <v>13</v>
      </c>
      <c r="D32" s="65" t="s">
        <v>1095</v>
      </c>
      <c r="E32" s="75" t="s">
        <v>1115</v>
      </c>
      <c r="F32" s="5">
        <v>10</v>
      </c>
    </row>
    <row r="33" spans="1:6" x14ac:dyDescent="0.35">
      <c r="A33" s="73">
        <v>6</v>
      </c>
      <c r="B33" s="49" t="s">
        <v>81</v>
      </c>
      <c r="C33" s="49" t="s">
        <v>21</v>
      </c>
      <c r="D33" s="85" t="s">
        <v>1096</v>
      </c>
      <c r="E33" s="52" t="s">
        <v>1116</v>
      </c>
      <c r="F33" s="49">
        <v>8</v>
      </c>
    </row>
    <row r="34" spans="1:6" x14ac:dyDescent="0.35">
      <c r="A34" s="73">
        <v>7</v>
      </c>
      <c r="B34" s="12" t="s">
        <v>67</v>
      </c>
      <c r="C34" s="12" t="s">
        <v>18</v>
      </c>
      <c r="D34" s="72" t="s">
        <v>1097</v>
      </c>
      <c r="E34" s="79" t="s">
        <v>1117</v>
      </c>
      <c r="F34" s="12">
        <v>6</v>
      </c>
    </row>
    <row r="35" spans="1:6" x14ac:dyDescent="0.35">
      <c r="A35" s="73">
        <v>8</v>
      </c>
      <c r="B35" s="2" t="s">
        <v>63</v>
      </c>
      <c r="C35" s="2" t="s">
        <v>21</v>
      </c>
      <c r="D35" s="62" t="s">
        <v>1098</v>
      </c>
      <c r="E35" s="76" t="s">
        <v>1118</v>
      </c>
      <c r="F35" s="2">
        <v>4</v>
      </c>
    </row>
    <row r="36" spans="1:6" x14ac:dyDescent="0.35">
      <c r="A36" s="73">
        <v>9</v>
      </c>
      <c r="B36" s="4" t="s">
        <v>71</v>
      </c>
      <c r="C36" s="4" t="s">
        <v>12</v>
      </c>
      <c r="D36" s="64" t="s">
        <v>1099</v>
      </c>
      <c r="E36" s="77" t="s">
        <v>1119</v>
      </c>
      <c r="F36" s="4">
        <v>2</v>
      </c>
    </row>
    <row r="37" spans="1:6" x14ac:dyDescent="0.35">
      <c r="A37" s="73">
        <v>10</v>
      </c>
      <c r="B37" s="6" t="s">
        <v>72</v>
      </c>
      <c r="C37" s="6" t="s">
        <v>14</v>
      </c>
      <c r="D37" s="66" t="s">
        <v>1100</v>
      </c>
      <c r="E37" s="81" t="s">
        <v>1120</v>
      </c>
      <c r="F37" s="6">
        <v>1</v>
      </c>
    </row>
    <row r="38" spans="1:6" x14ac:dyDescent="0.35">
      <c r="A38" s="73">
        <v>11</v>
      </c>
      <c r="B38" s="7" t="s">
        <v>66</v>
      </c>
      <c r="C38" s="7" t="s">
        <v>15</v>
      </c>
      <c r="D38" s="67" t="s">
        <v>1101</v>
      </c>
      <c r="E38" s="78" t="s">
        <v>1121</v>
      </c>
      <c r="F38" s="7">
        <v>0</v>
      </c>
    </row>
    <row r="39" spans="1:6" x14ac:dyDescent="0.35">
      <c r="A39" s="73">
        <v>12</v>
      </c>
      <c r="B39" s="10" t="s">
        <v>73</v>
      </c>
      <c r="C39" s="10" t="s">
        <v>16</v>
      </c>
      <c r="D39" s="70" t="s">
        <v>1102</v>
      </c>
      <c r="E39" s="80" t="s">
        <v>1122</v>
      </c>
      <c r="F39" s="10">
        <v>0</v>
      </c>
    </row>
    <row r="40" spans="1:6" x14ac:dyDescent="0.35">
      <c r="A40" s="73">
        <v>13</v>
      </c>
      <c r="B40" s="10" t="s">
        <v>70</v>
      </c>
      <c r="C40" s="10" t="s">
        <v>16</v>
      </c>
      <c r="D40" s="70" t="s">
        <v>1103</v>
      </c>
      <c r="E40" s="80" t="s">
        <v>1123</v>
      </c>
      <c r="F40" s="10">
        <v>0</v>
      </c>
    </row>
    <row r="41" spans="1:6" x14ac:dyDescent="0.35">
      <c r="A41" s="73">
        <v>14</v>
      </c>
      <c r="B41" s="12" t="s">
        <v>69</v>
      </c>
      <c r="C41" s="12" t="s">
        <v>18</v>
      </c>
      <c r="D41" s="72" t="s">
        <v>1104</v>
      </c>
      <c r="E41" s="79" t="s">
        <v>1124</v>
      </c>
      <c r="F41" s="12">
        <v>0</v>
      </c>
    </row>
    <row r="42" spans="1:6" x14ac:dyDescent="0.35">
      <c r="A42" s="73">
        <v>15</v>
      </c>
      <c r="B42" s="9" t="s">
        <v>75</v>
      </c>
      <c r="C42" s="9" t="s">
        <v>20</v>
      </c>
      <c r="D42" s="69" t="s">
        <v>1105</v>
      </c>
      <c r="E42" s="82" t="s">
        <v>1125</v>
      </c>
      <c r="F42" s="9">
        <v>0</v>
      </c>
    </row>
    <row r="43" spans="1:6" x14ac:dyDescent="0.35">
      <c r="A43" s="73">
        <v>16</v>
      </c>
      <c r="B43" s="7" t="s">
        <v>74</v>
      </c>
      <c r="C43" s="7" t="s">
        <v>15</v>
      </c>
      <c r="D43" s="67" t="s">
        <v>1006</v>
      </c>
      <c r="E43" s="78" t="s">
        <v>122</v>
      </c>
      <c r="F43" s="7">
        <v>0</v>
      </c>
    </row>
    <row r="44" spans="1:6" x14ac:dyDescent="0.35">
      <c r="A44" s="73">
        <v>17</v>
      </c>
      <c r="B44" s="71" t="s">
        <v>76</v>
      </c>
      <c r="C44" s="11" t="s">
        <v>17</v>
      </c>
      <c r="D44" s="71" t="s">
        <v>1106</v>
      </c>
      <c r="E44" s="83" t="s">
        <v>122</v>
      </c>
      <c r="F44" s="11">
        <v>0</v>
      </c>
    </row>
    <row r="45" spans="1:6" x14ac:dyDescent="0.35">
      <c r="A45" s="73">
        <v>18</v>
      </c>
      <c r="B45" s="6" t="s">
        <v>78</v>
      </c>
      <c r="C45" s="6" t="s">
        <v>14</v>
      </c>
      <c r="D45" s="66" t="s">
        <v>1107</v>
      </c>
      <c r="E45" s="81" t="s">
        <v>122</v>
      </c>
      <c r="F45" s="6">
        <v>0</v>
      </c>
    </row>
    <row r="46" spans="1:6" x14ac:dyDescent="0.35">
      <c r="A46" s="73">
        <v>19</v>
      </c>
      <c r="B46" s="9" t="s">
        <v>79</v>
      </c>
      <c r="C46" s="9" t="s">
        <v>20</v>
      </c>
      <c r="D46" s="69" t="s">
        <v>1108</v>
      </c>
      <c r="E46" s="82" t="s">
        <v>122</v>
      </c>
      <c r="F46" s="9">
        <v>0</v>
      </c>
    </row>
    <row r="47" spans="1:6" x14ac:dyDescent="0.35">
      <c r="A47" s="73">
        <v>20</v>
      </c>
      <c r="B47" s="59" t="s">
        <v>80</v>
      </c>
      <c r="C47" s="59" t="s">
        <v>19</v>
      </c>
      <c r="D47" s="59" t="s">
        <v>1109</v>
      </c>
      <c r="E47" s="97" t="s">
        <v>124</v>
      </c>
      <c r="F47" s="59" t="s">
        <v>82</v>
      </c>
    </row>
    <row r="48" spans="1:6" x14ac:dyDescent="0.35">
      <c r="A48" s="73">
        <v>21</v>
      </c>
      <c r="B48" s="59" t="s">
        <v>77</v>
      </c>
      <c r="C48" s="59" t="s">
        <v>19</v>
      </c>
      <c r="D48" s="59" t="s">
        <v>1110</v>
      </c>
      <c r="E48" s="97" t="s">
        <v>124</v>
      </c>
      <c r="F48" s="59" t="s">
        <v>82</v>
      </c>
    </row>
    <row r="49" spans="1:6" x14ac:dyDescent="0.35">
      <c r="A49" s="73">
        <v>22</v>
      </c>
      <c r="B49" s="71" t="s">
        <v>125</v>
      </c>
      <c r="C49" s="71" t="s">
        <v>17</v>
      </c>
      <c r="D49" s="71" t="s">
        <v>1111</v>
      </c>
      <c r="E49" s="83" t="s">
        <v>124</v>
      </c>
      <c r="F49" s="71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3" t="s">
        <v>11</v>
      </c>
      <c r="C53" s="3">
        <f t="shared" ref="C53:C63" si="0">SUMIF($C$28:$C$48,B53,$F$28:$F$48)</f>
        <v>44</v>
      </c>
    </row>
    <row r="54" spans="1:6" x14ac:dyDescent="0.35">
      <c r="A54" s="73">
        <v>2</v>
      </c>
      <c r="B54" s="5" t="s">
        <v>13</v>
      </c>
      <c r="C54" s="5">
        <f t="shared" si="0"/>
        <v>22</v>
      </c>
    </row>
    <row r="55" spans="1:6" x14ac:dyDescent="0.35">
      <c r="A55" s="73">
        <v>3</v>
      </c>
      <c r="B55" s="4" t="s">
        <v>12</v>
      </c>
      <c r="C55" s="4">
        <f t="shared" si="0"/>
        <v>17</v>
      </c>
    </row>
    <row r="56" spans="1:6" x14ac:dyDescent="0.35">
      <c r="A56" s="73">
        <v>4</v>
      </c>
      <c r="B56" s="2" t="s">
        <v>21</v>
      </c>
      <c r="C56" s="2">
        <f t="shared" si="0"/>
        <v>12</v>
      </c>
    </row>
    <row r="57" spans="1:6" x14ac:dyDescent="0.35">
      <c r="A57" s="73">
        <v>5</v>
      </c>
      <c r="B57" s="12" t="s">
        <v>18</v>
      </c>
      <c r="C57" s="12">
        <f t="shared" si="0"/>
        <v>6</v>
      </c>
    </row>
    <row r="58" spans="1:6" x14ac:dyDescent="0.35">
      <c r="A58" s="73">
        <v>6</v>
      </c>
      <c r="B58" s="6" t="s">
        <v>14</v>
      </c>
      <c r="C58" s="6">
        <f t="shared" si="0"/>
        <v>1</v>
      </c>
    </row>
    <row r="59" spans="1:6" x14ac:dyDescent="0.35">
      <c r="A59" s="73">
        <v>7</v>
      </c>
      <c r="B59" s="7" t="s">
        <v>15</v>
      </c>
      <c r="C59" s="7">
        <f t="shared" si="0"/>
        <v>0</v>
      </c>
    </row>
    <row r="60" spans="1:6" x14ac:dyDescent="0.35">
      <c r="A60" s="73">
        <v>8</v>
      </c>
      <c r="B60" s="10" t="s">
        <v>16</v>
      </c>
      <c r="C60" s="10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6CBB-2B94-4213-AAFD-7AE160BD8C84}">
  <dimension ref="A1:F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2.0898437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13" t="s">
        <v>27</v>
      </c>
      <c r="C2" s="13" t="s">
        <v>0</v>
      </c>
      <c r="D2" s="39"/>
    </row>
    <row r="3" spans="1:4" x14ac:dyDescent="0.35">
      <c r="A3" s="73">
        <v>1</v>
      </c>
      <c r="B3" s="49" t="s">
        <v>63</v>
      </c>
      <c r="C3" s="49" t="s">
        <v>21</v>
      </c>
      <c r="D3" s="40"/>
    </row>
    <row r="4" spans="1:4" x14ac:dyDescent="0.35">
      <c r="A4" s="73">
        <v>2</v>
      </c>
      <c r="B4" s="3" t="s">
        <v>65</v>
      </c>
      <c r="C4" s="3" t="s">
        <v>11</v>
      </c>
      <c r="D4" s="40"/>
    </row>
    <row r="5" spans="1:4" x14ac:dyDescent="0.35">
      <c r="A5" s="73">
        <v>3</v>
      </c>
      <c r="B5" s="3" t="s">
        <v>61</v>
      </c>
      <c r="C5" s="3" t="s">
        <v>11</v>
      </c>
      <c r="D5" s="41"/>
    </row>
    <row r="6" spans="1:4" x14ac:dyDescent="0.35">
      <c r="A6" s="73">
        <v>4</v>
      </c>
      <c r="B6" s="4" t="s">
        <v>64</v>
      </c>
      <c r="C6" s="4" t="s">
        <v>12</v>
      </c>
      <c r="D6" s="41"/>
    </row>
    <row r="7" spans="1:4" x14ac:dyDescent="0.35">
      <c r="A7" s="73">
        <v>5</v>
      </c>
      <c r="B7" s="54" t="s">
        <v>69</v>
      </c>
      <c r="C7" s="54" t="s">
        <v>18</v>
      </c>
    </row>
    <row r="8" spans="1:4" x14ac:dyDescent="0.35">
      <c r="A8" s="73">
        <v>6</v>
      </c>
      <c r="B8" s="57" t="s">
        <v>67</v>
      </c>
      <c r="C8" s="57" t="s">
        <v>18</v>
      </c>
      <c r="D8" s="40"/>
    </row>
    <row r="9" spans="1:4" x14ac:dyDescent="0.35">
      <c r="A9" s="73">
        <v>7</v>
      </c>
      <c r="B9" s="49" t="s">
        <v>81</v>
      </c>
      <c r="C9" s="49" t="s">
        <v>21</v>
      </c>
    </row>
    <row r="10" spans="1:4" x14ac:dyDescent="0.35">
      <c r="A10" s="73">
        <v>8</v>
      </c>
      <c r="B10" s="5" t="s">
        <v>68</v>
      </c>
      <c r="C10" s="5" t="s">
        <v>13</v>
      </c>
      <c r="D10" s="40"/>
    </row>
    <row r="11" spans="1:4" x14ac:dyDescent="0.35">
      <c r="A11" s="73">
        <v>9</v>
      </c>
      <c r="B11" s="10" t="s">
        <v>73</v>
      </c>
      <c r="C11" s="10" t="s">
        <v>16</v>
      </c>
      <c r="D11" s="41"/>
    </row>
    <row r="12" spans="1:4" x14ac:dyDescent="0.35">
      <c r="A12" s="73">
        <v>10</v>
      </c>
      <c r="B12" s="4" t="s">
        <v>71</v>
      </c>
      <c r="C12" s="4" t="s">
        <v>12</v>
      </c>
      <c r="D12" s="41"/>
    </row>
    <row r="13" spans="1:4" x14ac:dyDescent="0.35">
      <c r="A13" s="73">
        <v>11</v>
      </c>
      <c r="B13" s="5" t="s">
        <v>62</v>
      </c>
      <c r="C13" s="5" t="s">
        <v>13</v>
      </c>
      <c r="D13" s="41"/>
    </row>
    <row r="14" spans="1:4" x14ac:dyDescent="0.35">
      <c r="A14" s="73">
        <v>12</v>
      </c>
      <c r="B14" s="56" t="s">
        <v>70</v>
      </c>
      <c r="C14" s="56" t="s">
        <v>16</v>
      </c>
      <c r="D14" s="41"/>
    </row>
    <row r="15" spans="1:4" x14ac:dyDescent="0.35">
      <c r="A15" s="73">
        <v>13</v>
      </c>
      <c r="B15" s="6" t="s">
        <v>72</v>
      </c>
      <c r="C15" s="6" t="s">
        <v>14</v>
      </c>
      <c r="D15" s="41"/>
    </row>
    <row r="16" spans="1:4" x14ac:dyDescent="0.35">
      <c r="A16" s="73">
        <v>14</v>
      </c>
      <c r="B16" s="7" t="s">
        <v>66</v>
      </c>
      <c r="C16" s="7" t="s">
        <v>15</v>
      </c>
      <c r="D16" s="40"/>
    </row>
    <row r="17" spans="1:6" x14ac:dyDescent="0.35">
      <c r="A17" s="73">
        <v>15</v>
      </c>
      <c r="B17" s="8" t="s">
        <v>80</v>
      </c>
      <c r="C17" s="8" t="s">
        <v>19</v>
      </c>
      <c r="D17" s="41"/>
    </row>
    <row r="18" spans="1:6" x14ac:dyDescent="0.35">
      <c r="A18" s="73">
        <v>16</v>
      </c>
      <c r="B18" s="55" t="s">
        <v>75</v>
      </c>
      <c r="C18" s="55" t="s">
        <v>20</v>
      </c>
      <c r="D18" s="40"/>
    </row>
    <row r="19" spans="1:6" x14ac:dyDescent="0.35">
      <c r="A19" s="73">
        <v>17</v>
      </c>
      <c r="B19" s="7" t="s">
        <v>74</v>
      </c>
      <c r="C19" s="7" t="s">
        <v>15</v>
      </c>
    </row>
    <row r="20" spans="1:6" x14ac:dyDescent="0.35">
      <c r="A20" s="73">
        <v>18</v>
      </c>
      <c r="B20" s="11" t="s">
        <v>125</v>
      </c>
      <c r="C20" s="11" t="s">
        <v>17</v>
      </c>
      <c r="D20" s="41"/>
    </row>
    <row r="21" spans="1:6" x14ac:dyDescent="0.35">
      <c r="A21" s="73">
        <v>19</v>
      </c>
      <c r="B21" s="8" t="s">
        <v>77</v>
      </c>
      <c r="C21" s="8" t="s">
        <v>19</v>
      </c>
      <c r="D21" s="41"/>
    </row>
    <row r="22" spans="1:6" x14ac:dyDescent="0.35">
      <c r="A22" s="73">
        <v>20</v>
      </c>
      <c r="B22" s="11" t="s">
        <v>76</v>
      </c>
      <c r="C22" s="11" t="s">
        <v>17</v>
      </c>
      <c r="D22" s="41"/>
    </row>
    <row r="23" spans="1:6" x14ac:dyDescent="0.35">
      <c r="A23" s="73">
        <v>21</v>
      </c>
      <c r="B23" s="58" t="s">
        <v>78</v>
      </c>
      <c r="C23" s="58" t="s">
        <v>14</v>
      </c>
      <c r="D23" s="40"/>
    </row>
    <row r="24" spans="1:6" x14ac:dyDescent="0.35">
      <c r="A24" s="73">
        <v>22</v>
      </c>
      <c r="B24" s="9" t="s">
        <v>79</v>
      </c>
      <c r="C24" s="9" t="s">
        <v>20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" t="s">
        <v>802</v>
      </c>
      <c r="E28" s="17" t="s">
        <v>824</v>
      </c>
      <c r="F28" s="2">
        <v>8</v>
      </c>
    </row>
    <row r="29" spans="1:6" x14ac:dyDescent="0.35">
      <c r="A29" s="73">
        <v>2</v>
      </c>
      <c r="B29" s="3" t="s">
        <v>61</v>
      </c>
      <c r="C29" s="3" t="s">
        <v>11</v>
      </c>
      <c r="D29" s="50" t="s">
        <v>803</v>
      </c>
      <c r="E29" s="15" t="s">
        <v>825</v>
      </c>
      <c r="F29" s="3">
        <v>7</v>
      </c>
    </row>
    <row r="30" spans="1:6" x14ac:dyDescent="0.35">
      <c r="A30" s="73">
        <v>3</v>
      </c>
      <c r="B30" s="12" t="s">
        <v>67</v>
      </c>
      <c r="C30" s="12" t="s">
        <v>18</v>
      </c>
      <c r="D30" s="12" t="s">
        <v>804</v>
      </c>
      <c r="E30" s="20" t="s">
        <v>826</v>
      </c>
      <c r="F30" s="12">
        <v>6</v>
      </c>
    </row>
    <row r="31" spans="1:6" x14ac:dyDescent="0.35">
      <c r="A31" s="73">
        <v>4</v>
      </c>
      <c r="B31" s="4" t="s">
        <v>64</v>
      </c>
      <c r="C31" s="4" t="s">
        <v>12</v>
      </c>
      <c r="D31" s="4" t="s">
        <v>805</v>
      </c>
      <c r="E31" s="18" t="s">
        <v>827</v>
      </c>
      <c r="F31" s="4">
        <v>5</v>
      </c>
    </row>
    <row r="32" spans="1:6" x14ac:dyDescent="0.35">
      <c r="A32" s="73">
        <v>5</v>
      </c>
      <c r="B32" s="3" t="s">
        <v>65</v>
      </c>
      <c r="C32" s="3" t="s">
        <v>11</v>
      </c>
      <c r="D32" s="3" t="s">
        <v>806</v>
      </c>
      <c r="E32" s="15" t="s">
        <v>828</v>
      </c>
      <c r="F32" s="3">
        <v>4</v>
      </c>
    </row>
    <row r="33" spans="1:6" x14ac:dyDescent="0.35">
      <c r="A33" s="73">
        <v>6</v>
      </c>
      <c r="B33" s="5" t="s">
        <v>68</v>
      </c>
      <c r="C33" s="5" t="s">
        <v>13</v>
      </c>
      <c r="D33" s="5" t="s">
        <v>344</v>
      </c>
      <c r="E33" s="16" t="s">
        <v>829</v>
      </c>
      <c r="F33" s="5">
        <v>3</v>
      </c>
    </row>
    <row r="34" spans="1:6" x14ac:dyDescent="0.35">
      <c r="A34" s="73">
        <v>7</v>
      </c>
      <c r="B34" s="5" t="s">
        <v>62</v>
      </c>
      <c r="C34" s="5" t="s">
        <v>13</v>
      </c>
      <c r="D34" s="5" t="s">
        <v>807</v>
      </c>
      <c r="E34" s="16" t="s">
        <v>830</v>
      </c>
      <c r="F34" s="5">
        <v>2</v>
      </c>
    </row>
    <row r="35" spans="1:6" x14ac:dyDescent="0.35">
      <c r="A35" s="73">
        <v>8</v>
      </c>
      <c r="B35" s="49" t="s">
        <v>81</v>
      </c>
      <c r="C35" s="49" t="s">
        <v>21</v>
      </c>
      <c r="D35" s="49" t="s">
        <v>808</v>
      </c>
      <c r="E35" s="52" t="s">
        <v>831</v>
      </c>
      <c r="F35" s="49">
        <v>1</v>
      </c>
    </row>
    <row r="36" spans="1:6" x14ac:dyDescent="0.35">
      <c r="A36" s="73">
        <v>9</v>
      </c>
      <c r="B36" s="12" t="s">
        <v>69</v>
      </c>
      <c r="C36" s="12" t="s">
        <v>18</v>
      </c>
      <c r="D36" s="12" t="s">
        <v>809</v>
      </c>
      <c r="E36" s="20" t="s">
        <v>832</v>
      </c>
      <c r="F36" s="12">
        <v>0</v>
      </c>
    </row>
    <row r="37" spans="1:6" x14ac:dyDescent="0.35">
      <c r="A37" s="73">
        <v>10</v>
      </c>
      <c r="B37" s="10" t="s">
        <v>70</v>
      </c>
      <c r="C37" s="10" t="s">
        <v>16</v>
      </c>
      <c r="D37" s="10" t="s">
        <v>810</v>
      </c>
      <c r="E37" s="21" t="s">
        <v>833</v>
      </c>
      <c r="F37" s="10">
        <v>0</v>
      </c>
    </row>
    <row r="38" spans="1:6" x14ac:dyDescent="0.35">
      <c r="A38" s="73">
        <v>11</v>
      </c>
      <c r="B38" s="7" t="s">
        <v>66</v>
      </c>
      <c r="C38" s="7" t="s">
        <v>15</v>
      </c>
      <c r="D38" s="7" t="s">
        <v>811</v>
      </c>
      <c r="E38" s="19" t="s">
        <v>834</v>
      </c>
      <c r="F38" s="7">
        <v>0</v>
      </c>
    </row>
    <row r="39" spans="1:6" x14ac:dyDescent="0.35">
      <c r="A39" s="73">
        <v>12</v>
      </c>
      <c r="B39" s="6" t="s">
        <v>72</v>
      </c>
      <c r="C39" s="6" t="s">
        <v>14</v>
      </c>
      <c r="D39" s="6" t="s">
        <v>812</v>
      </c>
      <c r="E39" s="22" t="s">
        <v>835</v>
      </c>
      <c r="F39" s="6">
        <v>0</v>
      </c>
    </row>
    <row r="40" spans="1:6" x14ac:dyDescent="0.35">
      <c r="A40" s="73">
        <v>13</v>
      </c>
      <c r="B40" s="10" t="s">
        <v>73</v>
      </c>
      <c r="C40" s="10" t="s">
        <v>16</v>
      </c>
      <c r="D40" s="10" t="s">
        <v>813</v>
      </c>
      <c r="E40" s="21" t="s">
        <v>836</v>
      </c>
      <c r="F40" s="10">
        <v>0</v>
      </c>
    </row>
    <row r="41" spans="1:6" x14ac:dyDescent="0.35">
      <c r="A41" s="73">
        <v>14</v>
      </c>
      <c r="B41" s="4" t="s">
        <v>71</v>
      </c>
      <c r="C41" s="4" t="s">
        <v>12</v>
      </c>
      <c r="D41" s="4" t="s">
        <v>814</v>
      </c>
      <c r="E41" s="18" t="s">
        <v>837</v>
      </c>
      <c r="F41" s="4">
        <v>0</v>
      </c>
    </row>
    <row r="42" spans="1:6" x14ac:dyDescent="0.35">
      <c r="A42" s="73">
        <v>15</v>
      </c>
      <c r="B42" s="7" t="s">
        <v>74</v>
      </c>
      <c r="C42" s="7" t="s">
        <v>15</v>
      </c>
      <c r="D42" s="7" t="s">
        <v>815</v>
      </c>
      <c r="E42" s="19" t="s">
        <v>838</v>
      </c>
      <c r="F42" s="7">
        <v>0</v>
      </c>
    </row>
    <row r="43" spans="1:6" x14ac:dyDescent="0.35">
      <c r="A43" s="73">
        <v>16</v>
      </c>
      <c r="B43" s="9" t="s">
        <v>75</v>
      </c>
      <c r="C43" s="9" t="s">
        <v>20</v>
      </c>
      <c r="D43" s="9" t="s">
        <v>816</v>
      </c>
      <c r="E43" s="23" t="s">
        <v>282</v>
      </c>
      <c r="F43" s="9">
        <v>0</v>
      </c>
    </row>
    <row r="44" spans="1:6" x14ac:dyDescent="0.35">
      <c r="A44" s="73">
        <v>17</v>
      </c>
      <c r="B44" s="8" t="s">
        <v>80</v>
      </c>
      <c r="C44" s="8" t="s">
        <v>19</v>
      </c>
      <c r="D44" s="8" t="s">
        <v>817</v>
      </c>
      <c r="E44" s="25" t="s">
        <v>839</v>
      </c>
      <c r="F44" s="8">
        <v>0</v>
      </c>
    </row>
    <row r="45" spans="1:6" x14ac:dyDescent="0.35">
      <c r="A45" s="73">
        <v>18</v>
      </c>
      <c r="B45" s="9" t="s">
        <v>79</v>
      </c>
      <c r="C45" s="9" t="s">
        <v>20</v>
      </c>
      <c r="D45" s="9" t="s">
        <v>818</v>
      </c>
      <c r="E45" s="23" t="s">
        <v>840</v>
      </c>
      <c r="F45" s="9">
        <v>0</v>
      </c>
    </row>
    <row r="46" spans="1:6" x14ac:dyDescent="0.35">
      <c r="A46" s="73">
        <v>19</v>
      </c>
      <c r="B46" s="8" t="s">
        <v>77</v>
      </c>
      <c r="C46" s="8" t="s">
        <v>19</v>
      </c>
      <c r="D46" s="8" t="s">
        <v>819</v>
      </c>
      <c r="E46" s="25" t="s">
        <v>841</v>
      </c>
      <c r="F46" s="8">
        <v>0</v>
      </c>
    </row>
    <row r="47" spans="1:6" x14ac:dyDescent="0.35">
      <c r="A47" s="73">
        <v>20</v>
      </c>
      <c r="B47" s="11" t="s">
        <v>125</v>
      </c>
      <c r="C47" s="11" t="s">
        <v>17</v>
      </c>
      <c r="D47" s="11" t="s">
        <v>820</v>
      </c>
      <c r="E47" s="24" t="s">
        <v>842</v>
      </c>
      <c r="F47" s="11">
        <v>0</v>
      </c>
    </row>
    <row r="48" spans="1:6" x14ac:dyDescent="0.35">
      <c r="A48" s="73">
        <v>21</v>
      </c>
      <c r="B48" s="11" t="s">
        <v>76</v>
      </c>
      <c r="C48" s="11" t="s">
        <v>17</v>
      </c>
      <c r="D48" s="11" t="s">
        <v>821</v>
      </c>
      <c r="E48" s="24" t="s">
        <v>823</v>
      </c>
      <c r="F48" s="11">
        <v>0</v>
      </c>
    </row>
    <row r="49" spans="1:6" x14ac:dyDescent="0.35">
      <c r="A49" s="73">
        <v>22</v>
      </c>
      <c r="B49" s="6" t="s">
        <v>78</v>
      </c>
      <c r="C49" s="6" t="s">
        <v>14</v>
      </c>
      <c r="D49" s="6" t="s">
        <v>822</v>
      </c>
      <c r="E49" s="22" t="s">
        <v>122</v>
      </c>
      <c r="F49" s="6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3" t="s">
        <v>11</v>
      </c>
      <c r="C53" s="3">
        <f t="shared" ref="C53:C63" si="0">SUMIF($C$28:$C$47,B53,$F$28:$F$47)</f>
        <v>11</v>
      </c>
    </row>
    <row r="54" spans="1:6" x14ac:dyDescent="0.35">
      <c r="A54" s="73">
        <v>2</v>
      </c>
      <c r="B54" s="2" t="s">
        <v>21</v>
      </c>
      <c r="C54" s="2">
        <f t="shared" si="0"/>
        <v>9</v>
      </c>
    </row>
    <row r="55" spans="1:6" x14ac:dyDescent="0.35">
      <c r="A55" s="73">
        <v>3</v>
      </c>
      <c r="B55" s="12" t="s">
        <v>18</v>
      </c>
      <c r="C55" s="12">
        <f t="shared" si="0"/>
        <v>6</v>
      </c>
    </row>
    <row r="56" spans="1:6" x14ac:dyDescent="0.35">
      <c r="A56" s="73">
        <v>4</v>
      </c>
      <c r="B56" s="4" t="s">
        <v>12</v>
      </c>
      <c r="C56" s="4">
        <f t="shared" si="0"/>
        <v>5</v>
      </c>
    </row>
    <row r="57" spans="1:6" x14ac:dyDescent="0.35">
      <c r="A57" s="73">
        <v>5</v>
      </c>
      <c r="B57" s="5" t="s">
        <v>13</v>
      </c>
      <c r="C57" s="5">
        <f t="shared" si="0"/>
        <v>5</v>
      </c>
    </row>
    <row r="58" spans="1:6" x14ac:dyDescent="0.35">
      <c r="A58" s="73">
        <v>6</v>
      </c>
      <c r="B58" s="7" t="s">
        <v>15</v>
      </c>
      <c r="C58" s="7">
        <f t="shared" si="0"/>
        <v>0</v>
      </c>
    </row>
    <row r="59" spans="1:6" x14ac:dyDescent="0.35">
      <c r="A59" s="73">
        <v>7</v>
      </c>
      <c r="B59" s="10" t="s">
        <v>16</v>
      </c>
      <c r="C59" s="10">
        <f t="shared" si="0"/>
        <v>0</v>
      </c>
    </row>
    <row r="60" spans="1:6" x14ac:dyDescent="0.35">
      <c r="A60" s="73">
        <v>8</v>
      </c>
      <c r="B60" s="6" t="s">
        <v>14</v>
      </c>
      <c r="C60" s="6">
        <f t="shared" si="0"/>
        <v>0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C2F3-3365-4E0B-87CC-B9803103B30E}">
  <dimension ref="A1:F63"/>
  <sheetViews>
    <sheetView topLeftCell="A37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61" customFormat="1" x14ac:dyDescent="0.35">
      <c r="A1" s="96" t="s">
        <v>1170</v>
      </c>
      <c r="B1" s="96"/>
      <c r="C1" s="96"/>
    </row>
    <row r="2" spans="1:4" x14ac:dyDescent="0.35">
      <c r="A2" s="73" t="s">
        <v>349</v>
      </c>
      <c r="B2" s="73" t="s">
        <v>27</v>
      </c>
      <c r="C2" s="73" t="s">
        <v>0</v>
      </c>
      <c r="D2" s="39"/>
    </row>
    <row r="3" spans="1:4" x14ac:dyDescent="0.35">
      <c r="A3" s="73">
        <v>1</v>
      </c>
      <c r="B3" s="85" t="s">
        <v>63</v>
      </c>
      <c r="C3" s="85" t="s">
        <v>21</v>
      </c>
      <c r="D3" s="40"/>
    </row>
    <row r="4" spans="1:4" x14ac:dyDescent="0.35">
      <c r="A4" s="73">
        <v>2</v>
      </c>
      <c r="B4" s="63" t="s">
        <v>61</v>
      </c>
      <c r="C4" s="63" t="s">
        <v>11</v>
      </c>
      <c r="D4" s="40"/>
    </row>
    <row r="5" spans="1:4" x14ac:dyDescent="0.35">
      <c r="A5" s="73">
        <v>3</v>
      </c>
      <c r="B5" s="65" t="s">
        <v>68</v>
      </c>
      <c r="C5" s="65" t="s">
        <v>13</v>
      </c>
      <c r="D5" s="41"/>
    </row>
    <row r="6" spans="1:4" x14ac:dyDescent="0.35">
      <c r="A6" s="73">
        <v>4</v>
      </c>
      <c r="B6" s="64" t="s">
        <v>64</v>
      </c>
      <c r="C6" s="64" t="s">
        <v>12</v>
      </c>
      <c r="D6" s="41"/>
    </row>
    <row r="7" spans="1:4" x14ac:dyDescent="0.35">
      <c r="A7" s="73">
        <v>5</v>
      </c>
      <c r="B7" s="91" t="s">
        <v>67</v>
      </c>
      <c r="C7" s="91" t="s">
        <v>18</v>
      </c>
    </row>
    <row r="8" spans="1:4" x14ac:dyDescent="0.35">
      <c r="A8" s="73">
        <v>6</v>
      </c>
      <c r="B8" s="65" t="s">
        <v>62</v>
      </c>
      <c r="C8" s="65" t="s">
        <v>13</v>
      </c>
      <c r="D8" s="40"/>
    </row>
    <row r="9" spans="1:4" x14ac:dyDescent="0.35">
      <c r="A9" s="73">
        <v>7</v>
      </c>
      <c r="B9" s="64" t="s">
        <v>71</v>
      </c>
      <c r="C9" s="64" t="s">
        <v>12</v>
      </c>
    </row>
    <row r="10" spans="1:4" x14ac:dyDescent="0.35">
      <c r="A10" s="73">
        <v>8</v>
      </c>
      <c r="B10" s="85" t="s">
        <v>81</v>
      </c>
      <c r="C10" s="85" t="s">
        <v>21</v>
      </c>
      <c r="D10" s="40"/>
    </row>
    <row r="11" spans="1:4" x14ac:dyDescent="0.35">
      <c r="A11" s="73">
        <v>9</v>
      </c>
      <c r="B11" s="63" t="s">
        <v>65</v>
      </c>
      <c r="C11" s="63" t="s">
        <v>11</v>
      </c>
      <c r="D11" s="41"/>
    </row>
    <row r="12" spans="1:4" x14ac:dyDescent="0.35">
      <c r="A12" s="73">
        <v>10</v>
      </c>
      <c r="B12" s="88" t="s">
        <v>69</v>
      </c>
      <c r="C12" s="88" t="s">
        <v>18</v>
      </c>
      <c r="D12" s="41"/>
    </row>
    <row r="13" spans="1:4" x14ac:dyDescent="0.35">
      <c r="A13" s="73">
        <v>11</v>
      </c>
      <c r="B13" s="67" t="s">
        <v>66</v>
      </c>
      <c r="C13" s="67" t="s">
        <v>15</v>
      </c>
      <c r="D13" s="41"/>
    </row>
    <row r="14" spans="1:4" x14ac:dyDescent="0.35">
      <c r="A14" s="73">
        <v>12</v>
      </c>
      <c r="B14" s="70" t="s">
        <v>73</v>
      </c>
      <c r="C14" s="70" t="s">
        <v>16</v>
      </c>
      <c r="D14" s="41"/>
    </row>
    <row r="15" spans="1:4" x14ac:dyDescent="0.35">
      <c r="A15" s="73">
        <v>13</v>
      </c>
      <c r="B15" s="90" t="s">
        <v>70</v>
      </c>
      <c r="C15" s="90" t="s">
        <v>16</v>
      </c>
      <c r="D15" s="41"/>
    </row>
    <row r="16" spans="1:4" x14ac:dyDescent="0.35">
      <c r="A16" s="73">
        <v>14</v>
      </c>
      <c r="B16" s="66" t="s">
        <v>72</v>
      </c>
      <c r="C16" s="66" t="s">
        <v>14</v>
      </c>
      <c r="D16" s="40"/>
    </row>
    <row r="17" spans="1:6" x14ac:dyDescent="0.35">
      <c r="A17" s="73">
        <v>15</v>
      </c>
      <c r="B17" s="89" t="s">
        <v>75</v>
      </c>
      <c r="C17" s="89" t="s">
        <v>20</v>
      </c>
      <c r="D17" s="41"/>
    </row>
    <row r="18" spans="1:6" x14ac:dyDescent="0.35">
      <c r="A18" s="73">
        <v>16</v>
      </c>
      <c r="B18" s="71" t="s">
        <v>76</v>
      </c>
      <c r="C18" s="71" t="s">
        <v>17</v>
      </c>
      <c r="D18" s="40"/>
    </row>
    <row r="19" spans="1:6" x14ac:dyDescent="0.35">
      <c r="A19" s="73">
        <v>17</v>
      </c>
      <c r="B19" s="92" t="s">
        <v>78</v>
      </c>
      <c r="C19" s="92" t="s">
        <v>14</v>
      </c>
    </row>
    <row r="20" spans="1:6" x14ac:dyDescent="0.35">
      <c r="A20" s="73">
        <v>18</v>
      </c>
      <c r="B20" s="67" t="s">
        <v>74</v>
      </c>
      <c r="C20" s="67" t="s">
        <v>15</v>
      </c>
      <c r="D20" s="41"/>
    </row>
    <row r="21" spans="1:6" x14ac:dyDescent="0.35">
      <c r="A21" s="73">
        <v>19</v>
      </c>
      <c r="B21" s="68" t="s">
        <v>80</v>
      </c>
      <c r="C21" s="68" t="s">
        <v>19</v>
      </c>
      <c r="D21" s="41"/>
    </row>
    <row r="22" spans="1:6" x14ac:dyDescent="0.35">
      <c r="A22" s="73">
        <v>20</v>
      </c>
      <c r="B22" s="71" t="s">
        <v>125</v>
      </c>
      <c r="C22" s="71" t="s">
        <v>17</v>
      </c>
      <c r="D22" s="41"/>
    </row>
    <row r="23" spans="1:6" x14ac:dyDescent="0.35">
      <c r="A23" s="73">
        <v>21</v>
      </c>
      <c r="B23" s="89" t="s">
        <v>79</v>
      </c>
      <c r="C23" s="89" t="s">
        <v>20</v>
      </c>
      <c r="D23" s="40"/>
    </row>
    <row r="24" spans="1:6" x14ac:dyDescent="0.35">
      <c r="A24" s="73">
        <v>22</v>
      </c>
      <c r="B24" s="59" t="s">
        <v>77</v>
      </c>
      <c r="C24" s="59" t="s">
        <v>19</v>
      </c>
      <c r="D24" s="41"/>
    </row>
    <row r="26" spans="1:6" s="61" customFormat="1" x14ac:dyDescent="0.35">
      <c r="A26" s="95" t="s">
        <v>1171</v>
      </c>
      <c r="B26" s="95"/>
      <c r="C26" s="95"/>
      <c r="D26" s="95"/>
      <c r="E26" s="95"/>
      <c r="F26" s="95"/>
    </row>
    <row r="27" spans="1:6" x14ac:dyDescent="0.35">
      <c r="A27" s="73" t="s">
        <v>349</v>
      </c>
      <c r="B27" s="13" t="s">
        <v>27</v>
      </c>
      <c r="C27" s="13" t="s">
        <v>0</v>
      </c>
      <c r="D27" s="13" t="s">
        <v>85</v>
      </c>
      <c r="E27" s="13" t="s">
        <v>86</v>
      </c>
      <c r="F27" s="13" t="s">
        <v>28</v>
      </c>
    </row>
    <row r="28" spans="1:6" x14ac:dyDescent="0.35">
      <c r="A28" s="73">
        <v>1</v>
      </c>
      <c r="B28" s="2" t="s">
        <v>63</v>
      </c>
      <c r="C28" s="2" t="s">
        <v>21</v>
      </c>
      <c r="D28" s="2" t="s">
        <v>853</v>
      </c>
      <c r="E28" s="17" t="s">
        <v>843</v>
      </c>
      <c r="F28" s="2">
        <v>25</v>
      </c>
    </row>
    <row r="29" spans="1:6" x14ac:dyDescent="0.35">
      <c r="A29" s="73">
        <v>2</v>
      </c>
      <c r="B29" s="4" t="s">
        <v>64</v>
      </c>
      <c r="C29" s="4" t="s">
        <v>12</v>
      </c>
      <c r="D29" s="4" t="s">
        <v>854</v>
      </c>
      <c r="E29" s="18" t="s">
        <v>844</v>
      </c>
      <c r="F29" s="4">
        <v>18</v>
      </c>
    </row>
    <row r="30" spans="1:6" x14ac:dyDescent="0.35">
      <c r="A30" s="73">
        <v>3</v>
      </c>
      <c r="B30" s="12" t="s">
        <v>67</v>
      </c>
      <c r="C30" s="12" t="s">
        <v>18</v>
      </c>
      <c r="D30" s="12" t="s">
        <v>855</v>
      </c>
      <c r="E30" s="20" t="s">
        <v>845</v>
      </c>
      <c r="F30" s="12">
        <v>15</v>
      </c>
    </row>
    <row r="31" spans="1:6" x14ac:dyDescent="0.35">
      <c r="A31" s="73">
        <v>4</v>
      </c>
      <c r="B31" s="4" t="s">
        <v>71</v>
      </c>
      <c r="C31" s="4" t="s">
        <v>12</v>
      </c>
      <c r="D31" s="4" t="s">
        <v>300</v>
      </c>
      <c r="E31" s="18" t="s">
        <v>846</v>
      </c>
      <c r="F31" s="4">
        <v>12</v>
      </c>
    </row>
    <row r="32" spans="1:6" x14ac:dyDescent="0.35">
      <c r="A32" s="73">
        <v>5</v>
      </c>
      <c r="B32" s="10" t="s">
        <v>70</v>
      </c>
      <c r="C32" s="10" t="s">
        <v>16</v>
      </c>
      <c r="D32" s="10" t="s">
        <v>857</v>
      </c>
      <c r="E32" s="21" t="s">
        <v>847</v>
      </c>
      <c r="F32" s="10">
        <v>10</v>
      </c>
    </row>
    <row r="33" spans="1:6" x14ac:dyDescent="0.35">
      <c r="A33" s="73">
        <v>6</v>
      </c>
      <c r="B33" s="5" t="s">
        <v>62</v>
      </c>
      <c r="C33" s="5" t="s">
        <v>13</v>
      </c>
      <c r="D33" s="5" t="s">
        <v>858</v>
      </c>
      <c r="E33" s="16" t="s">
        <v>848</v>
      </c>
      <c r="F33" s="5">
        <v>8</v>
      </c>
    </row>
    <row r="34" spans="1:6" x14ac:dyDescent="0.35">
      <c r="A34" s="73">
        <v>7</v>
      </c>
      <c r="B34" s="49" t="s">
        <v>81</v>
      </c>
      <c r="C34" s="49" t="s">
        <v>21</v>
      </c>
      <c r="D34" s="49" t="s">
        <v>859</v>
      </c>
      <c r="E34" s="52" t="s">
        <v>849</v>
      </c>
      <c r="F34" s="49">
        <v>6</v>
      </c>
    </row>
    <row r="35" spans="1:6" x14ac:dyDescent="0.35">
      <c r="A35" s="73">
        <v>8</v>
      </c>
      <c r="B35" s="7" t="s">
        <v>66</v>
      </c>
      <c r="C35" s="7" t="s">
        <v>15</v>
      </c>
      <c r="D35" s="7" t="s">
        <v>856</v>
      </c>
      <c r="E35" s="19" t="s">
        <v>850</v>
      </c>
      <c r="F35" s="7">
        <v>4</v>
      </c>
    </row>
    <row r="36" spans="1:6" x14ac:dyDescent="0.35">
      <c r="A36" s="73">
        <v>9</v>
      </c>
      <c r="B36" s="6" t="s">
        <v>72</v>
      </c>
      <c r="C36" s="6" t="s">
        <v>14</v>
      </c>
      <c r="D36" s="6" t="s">
        <v>860</v>
      </c>
      <c r="E36" s="22" t="s">
        <v>851</v>
      </c>
      <c r="F36" s="6">
        <v>2</v>
      </c>
    </row>
    <row r="37" spans="1:6" x14ac:dyDescent="0.35">
      <c r="A37" s="73">
        <v>10</v>
      </c>
      <c r="B37" s="3" t="s">
        <v>61</v>
      </c>
      <c r="C37" s="3" t="s">
        <v>11</v>
      </c>
      <c r="D37" s="3" t="s">
        <v>861</v>
      </c>
      <c r="E37" s="15" t="s">
        <v>852</v>
      </c>
      <c r="F37" s="3">
        <v>1</v>
      </c>
    </row>
    <row r="38" spans="1:6" x14ac:dyDescent="0.35">
      <c r="A38" s="73">
        <v>11</v>
      </c>
      <c r="B38" s="10" t="s">
        <v>73</v>
      </c>
      <c r="C38" s="10" t="s">
        <v>16</v>
      </c>
      <c r="D38" s="10" t="s">
        <v>862</v>
      </c>
      <c r="E38" s="21" t="s">
        <v>122</v>
      </c>
      <c r="F38" s="10">
        <v>0</v>
      </c>
    </row>
    <row r="39" spans="1:6" x14ac:dyDescent="0.35">
      <c r="A39" s="73">
        <v>12</v>
      </c>
      <c r="B39" s="9" t="s">
        <v>75</v>
      </c>
      <c r="C39" s="9" t="s">
        <v>20</v>
      </c>
      <c r="D39" s="9" t="s">
        <v>863</v>
      </c>
      <c r="E39" s="23" t="s">
        <v>122</v>
      </c>
      <c r="F39" s="9">
        <v>0</v>
      </c>
    </row>
    <row r="40" spans="1:6" x14ac:dyDescent="0.35">
      <c r="A40" s="73">
        <v>13</v>
      </c>
      <c r="B40" s="5" t="s">
        <v>68</v>
      </c>
      <c r="C40" s="5" t="s">
        <v>13</v>
      </c>
      <c r="D40" s="50" t="s">
        <v>864</v>
      </c>
      <c r="E40" s="16" t="s">
        <v>122</v>
      </c>
      <c r="F40" s="5">
        <v>0</v>
      </c>
    </row>
    <row r="41" spans="1:6" x14ac:dyDescent="0.35">
      <c r="A41" s="73">
        <v>14</v>
      </c>
      <c r="B41" s="7" t="s">
        <v>74</v>
      </c>
      <c r="C41" s="7" t="s">
        <v>15</v>
      </c>
      <c r="D41" s="7" t="s">
        <v>865</v>
      </c>
      <c r="E41" s="19" t="s">
        <v>122</v>
      </c>
      <c r="F41" s="7">
        <v>0</v>
      </c>
    </row>
    <row r="42" spans="1:6" x14ac:dyDescent="0.35">
      <c r="A42" s="73">
        <v>15</v>
      </c>
      <c r="B42" s="11" t="s">
        <v>76</v>
      </c>
      <c r="C42" s="11" t="s">
        <v>17</v>
      </c>
      <c r="D42" s="11" t="s">
        <v>866</v>
      </c>
      <c r="E42" s="24" t="s">
        <v>122</v>
      </c>
      <c r="F42" s="11">
        <v>0</v>
      </c>
    </row>
    <row r="43" spans="1:6" x14ac:dyDescent="0.35">
      <c r="A43" s="73">
        <v>16</v>
      </c>
      <c r="B43" s="8" t="s">
        <v>80</v>
      </c>
      <c r="C43" s="8" t="s">
        <v>19</v>
      </c>
      <c r="D43" s="8" t="s">
        <v>867</v>
      </c>
      <c r="E43" s="25" t="s">
        <v>122</v>
      </c>
      <c r="F43" s="8">
        <v>0</v>
      </c>
    </row>
    <row r="44" spans="1:6" x14ac:dyDescent="0.35">
      <c r="A44" s="73">
        <v>17</v>
      </c>
      <c r="B44" s="6" t="s">
        <v>78</v>
      </c>
      <c r="C44" s="6" t="s">
        <v>14</v>
      </c>
      <c r="D44" s="6" t="s">
        <v>868</v>
      </c>
      <c r="E44" s="22" t="s">
        <v>122</v>
      </c>
      <c r="F44" s="6">
        <v>0</v>
      </c>
    </row>
    <row r="45" spans="1:6" x14ac:dyDescent="0.35">
      <c r="A45" s="73">
        <v>18</v>
      </c>
      <c r="B45" s="8" t="s">
        <v>77</v>
      </c>
      <c r="C45" s="8" t="s">
        <v>19</v>
      </c>
      <c r="D45" s="8" t="s">
        <v>869</v>
      </c>
      <c r="E45" s="25" t="s">
        <v>122</v>
      </c>
      <c r="F45" s="8">
        <v>0</v>
      </c>
    </row>
    <row r="46" spans="1:6" x14ac:dyDescent="0.35">
      <c r="A46" s="73">
        <v>19</v>
      </c>
      <c r="B46" s="11" t="s">
        <v>125</v>
      </c>
      <c r="C46" s="11" t="s">
        <v>17</v>
      </c>
      <c r="D46" s="11" t="s">
        <v>870</v>
      </c>
      <c r="E46" s="24" t="s">
        <v>122</v>
      </c>
      <c r="F46" s="11">
        <v>0</v>
      </c>
    </row>
    <row r="47" spans="1:6" x14ac:dyDescent="0.35">
      <c r="A47" s="73">
        <v>20</v>
      </c>
      <c r="B47" s="3" t="s">
        <v>65</v>
      </c>
      <c r="C47" s="3" t="s">
        <v>11</v>
      </c>
      <c r="D47" s="3" t="s">
        <v>871</v>
      </c>
      <c r="E47" s="15" t="s">
        <v>123</v>
      </c>
      <c r="F47" s="3">
        <v>0</v>
      </c>
    </row>
    <row r="48" spans="1:6" x14ac:dyDescent="0.35">
      <c r="A48" s="73">
        <v>21</v>
      </c>
      <c r="B48" s="9" t="s">
        <v>79</v>
      </c>
      <c r="C48" s="9" t="s">
        <v>20</v>
      </c>
      <c r="D48" s="9" t="s">
        <v>872</v>
      </c>
      <c r="E48" s="23" t="s">
        <v>124</v>
      </c>
      <c r="F48" s="9" t="s">
        <v>82</v>
      </c>
    </row>
    <row r="49" spans="1:6" x14ac:dyDescent="0.35">
      <c r="A49" s="73">
        <v>22</v>
      </c>
      <c r="B49" s="12" t="s">
        <v>69</v>
      </c>
      <c r="C49" s="12" t="s">
        <v>18</v>
      </c>
      <c r="D49" s="12" t="s">
        <v>873</v>
      </c>
      <c r="E49" s="20" t="s">
        <v>124</v>
      </c>
      <c r="F49" s="12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13" t="s">
        <v>0</v>
      </c>
      <c r="C52" s="13" t="s">
        <v>28</v>
      </c>
    </row>
    <row r="53" spans="1:6" x14ac:dyDescent="0.35">
      <c r="A53" s="73">
        <v>1</v>
      </c>
      <c r="B53" s="2" t="s">
        <v>21</v>
      </c>
      <c r="C53" s="2">
        <f t="shared" ref="C53:C63" si="0">SUMIF($C$28:$C$46,B53,$F$28:$F$46)</f>
        <v>31</v>
      </c>
    </row>
    <row r="54" spans="1:6" x14ac:dyDescent="0.35">
      <c r="A54" s="73">
        <v>2</v>
      </c>
      <c r="B54" s="4" t="s">
        <v>12</v>
      </c>
      <c r="C54" s="4">
        <f t="shared" si="0"/>
        <v>30</v>
      </c>
    </row>
    <row r="55" spans="1:6" x14ac:dyDescent="0.35">
      <c r="A55" s="73">
        <v>3</v>
      </c>
      <c r="B55" s="12" t="s">
        <v>18</v>
      </c>
      <c r="C55" s="12">
        <f t="shared" si="0"/>
        <v>15</v>
      </c>
    </row>
    <row r="56" spans="1:6" x14ac:dyDescent="0.35">
      <c r="A56" s="73">
        <v>4</v>
      </c>
      <c r="B56" s="10" t="s">
        <v>16</v>
      </c>
      <c r="C56" s="10">
        <f t="shared" si="0"/>
        <v>10</v>
      </c>
    </row>
    <row r="57" spans="1:6" x14ac:dyDescent="0.35">
      <c r="A57" s="73">
        <v>5</v>
      </c>
      <c r="B57" s="5" t="s">
        <v>13</v>
      </c>
      <c r="C57" s="5">
        <f t="shared" si="0"/>
        <v>8</v>
      </c>
    </row>
    <row r="58" spans="1:6" x14ac:dyDescent="0.35">
      <c r="A58" s="73">
        <v>6</v>
      </c>
      <c r="B58" s="7" t="s">
        <v>15</v>
      </c>
      <c r="C58" s="7">
        <f t="shared" si="0"/>
        <v>4</v>
      </c>
    </row>
    <row r="59" spans="1:6" x14ac:dyDescent="0.35">
      <c r="A59" s="73">
        <v>7</v>
      </c>
      <c r="B59" s="6" t="s">
        <v>14</v>
      </c>
      <c r="C59" s="6">
        <f t="shared" si="0"/>
        <v>2</v>
      </c>
    </row>
    <row r="60" spans="1:6" x14ac:dyDescent="0.35">
      <c r="A60" s="73">
        <v>8</v>
      </c>
      <c r="B60" s="3" t="s">
        <v>11</v>
      </c>
      <c r="C60" s="3">
        <f t="shared" si="0"/>
        <v>1</v>
      </c>
    </row>
    <row r="61" spans="1:6" x14ac:dyDescent="0.35">
      <c r="A61" s="73">
        <v>9</v>
      </c>
      <c r="B61" s="9" t="s">
        <v>20</v>
      </c>
      <c r="C61" s="9">
        <f t="shared" si="0"/>
        <v>0</v>
      </c>
    </row>
    <row r="62" spans="1:6" x14ac:dyDescent="0.35">
      <c r="A62" s="73">
        <v>10</v>
      </c>
      <c r="B62" s="8" t="s">
        <v>19</v>
      </c>
      <c r="C62" s="8">
        <f t="shared" si="0"/>
        <v>0</v>
      </c>
    </row>
    <row r="63" spans="1:6" x14ac:dyDescent="0.35">
      <c r="A63" s="73">
        <v>11</v>
      </c>
      <c r="B63" s="11" t="s">
        <v>17</v>
      </c>
      <c r="C63" s="1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2BDF-280F-4761-81C6-EB400A5D7ABA}">
  <dimension ref="A1:L63"/>
  <sheetViews>
    <sheetView topLeftCell="A25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9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s="61" customFormat="1" x14ac:dyDescent="0.35">
      <c r="A1" s="96" t="s">
        <v>1170</v>
      </c>
      <c r="B1" s="96"/>
      <c r="C1" s="96"/>
    </row>
    <row r="2" spans="1:12" x14ac:dyDescent="0.35">
      <c r="A2" s="73" t="s">
        <v>349</v>
      </c>
      <c r="B2" s="73" t="s">
        <v>27</v>
      </c>
      <c r="C2" s="73" t="s">
        <v>0</v>
      </c>
      <c r="D2" s="60"/>
      <c r="J2" s="61"/>
    </row>
    <row r="3" spans="1:12" x14ac:dyDescent="0.35">
      <c r="A3" s="73">
        <v>1</v>
      </c>
      <c r="B3" s="63" t="s">
        <v>65</v>
      </c>
      <c r="C3" s="63" t="s">
        <v>11</v>
      </c>
      <c r="D3" s="93"/>
      <c r="J3" s="61"/>
    </row>
    <row r="4" spans="1:12" x14ac:dyDescent="0.35">
      <c r="A4" s="73">
        <v>2</v>
      </c>
      <c r="B4" s="72" t="s">
        <v>67</v>
      </c>
      <c r="C4" s="72" t="s">
        <v>18</v>
      </c>
      <c r="D4" s="93"/>
      <c r="J4" s="61"/>
    </row>
    <row r="5" spans="1:12" x14ac:dyDescent="0.35">
      <c r="A5" s="73">
        <v>3</v>
      </c>
      <c r="B5" s="64" t="s">
        <v>64</v>
      </c>
      <c r="C5" s="64" t="s">
        <v>12</v>
      </c>
      <c r="D5" s="94"/>
      <c r="J5" s="61"/>
    </row>
    <row r="6" spans="1:12" x14ac:dyDescent="0.35">
      <c r="A6" s="73">
        <v>4</v>
      </c>
      <c r="B6" s="65" t="s">
        <v>68</v>
      </c>
      <c r="C6" s="65" t="s">
        <v>13</v>
      </c>
      <c r="D6" s="94"/>
      <c r="J6" s="61"/>
    </row>
    <row r="7" spans="1:12" x14ac:dyDescent="0.35">
      <c r="A7" s="73">
        <v>5</v>
      </c>
      <c r="B7" s="67" t="s">
        <v>66</v>
      </c>
      <c r="C7" s="67" t="s">
        <v>15</v>
      </c>
      <c r="D7" s="61"/>
      <c r="J7" s="61"/>
    </row>
    <row r="8" spans="1:12" x14ac:dyDescent="0.35">
      <c r="A8" s="73">
        <v>6</v>
      </c>
      <c r="B8" s="64" t="s">
        <v>71</v>
      </c>
      <c r="C8" s="64" t="s">
        <v>12</v>
      </c>
      <c r="D8" s="93"/>
      <c r="J8" s="61"/>
    </row>
    <row r="9" spans="1:12" x14ac:dyDescent="0.35">
      <c r="A9" s="73">
        <v>7</v>
      </c>
      <c r="B9" s="62" t="s">
        <v>81</v>
      </c>
      <c r="C9" s="62" t="s">
        <v>21</v>
      </c>
      <c r="D9" s="61"/>
      <c r="J9" s="61"/>
    </row>
    <row r="10" spans="1:12" x14ac:dyDescent="0.35">
      <c r="A10" s="73">
        <v>8</v>
      </c>
      <c r="B10" s="90" t="s">
        <v>70</v>
      </c>
      <c r="C10" s="90" t="s">
        <v>16</v>
      </c>
      <c r="D10" s="93"/>
      <c r="J10" s="61"/>
    </row>
    <row r="11" spans="1:12" x14ac:dyDescent="0.35">
      <c r="A11" s="73">
        <v>9</v>
      </c>
      <c r="B11" s="66" t="s">
        <v>72</v>
      </c>
      <c r="C11" s="66" t="s">
        <v>14</v>
      </c>
      <c r="D11" s="94"/>
      <c r="J11" s="61"/>
    </row>
    <row r="12" spans="1:12" x14ac:dyDescent="0.35">
      <c r="A12" s="73">
        <v>10</v>
      </c>
      <c r="B12" s="70" t="s">
        <v>73</v>
      </c>
      <c r="C12" s="70" t="s">
        <v>16</v>
      </c>
      <c r="D12" s="94"/>
      <c r="J12" s="61"/>
    </row>
    <row r="13" spans="1:12" x14ac:dyDescent="0.35">
      <c r="A13" s="73">
        <v>11</v>
      </c>
      <c r="B13" s="67" t="s">
        <v>74</v>
      </c>
      <c r="C13" s="67" t="s">
        <v>15</v>
      </c>
      <c r="D13" s="94"/>
      <c r="J13" s="61"/>
    </row>
    <row r="14" spans="1:12" x14ac:dyDescent="0.35">
      <c r="A14" s="73">
        <v>12</v>
      </c>
      <c r="B14" s="68" t="s">
        <v>80</v>
      </c>
      <c r="C14" s="68" t="s">
        <v>19</v>
      </c>
      <c r="D14" s="94"/>
      <c r="J14" s="61"/>
      <c r="K14" s="61"/>
      <c r="L14" s="61"/>
    </row>
    <row r="15" spans="1:12" x14ac:dyDescent="0.35">
      <c r="A15" s="73">
        <v>13</v>
      </c>
      <c r="B15" s="63" t="s">
        <v>61</v>
      </c>
      <c r="C15" s="63" t="s">
        <v>11</v>
      </c>
      <c r="D15" s="94"/>
      <c r="J15" s="61"/>
      <c r="K15" s="61"/>
      <c r="L15" s="61"/>
    </row>
    <row r="16" spans="1:12" x14ac:dyDescent="0.35">
      <c r="A16" s="73">
        <v>14</v>
      </c>
      <c r="B16" s="71" t="s">
        <v>125</v>
      </c>
      <c r="C16" s="71" t="s">
        <v>17</v>
      </c>
      <c r="D16" s="93"/>
      <c r="J16" s="61"/>
      <c r="K16" s="61"/>
      <c r="L16" s="61"/>
    </row>
    <row r="17" spans="1:12" x14ac:dyDescent="0.35">
      <c r="A17" s="73">
        <v>15</v>
      </c>
      <c r="B17" s="89" t="s">
        <v>75</v>
      </c>
      <c r="C17" s="89" t="s">
        <v>20</v>
      </c>
      <c r="D17" s="94"/>
      <c r="J17" s="61"/>
      <c r="K17" s="61"/>
      <c r="L17" s="61"/>
    </row>
    <row r="18" spans="1:12" x14ac:dyDescent="0.35">
      <c r="A18" s="73">
        <v>16</v>
      </c>
      <c r="B18" s="65" t="s">
        <v>62</v>
      </c>
      <c r="C18" s="65" t="s">
        <v>13</v>
      </c>
      <c r="D18" s="93"/>
      <c r="J18" s="61"/>
      <c r="K18" s="61"/>
      <c r="L18" s="61"/>
    </row>
    <row r="19" spans="1:12" x14ac:dyDescent="0.35">
      <c r="A19" s="73">
        <v>17</v>
      </c>
      <c r="B19" s="66" t="s">
        <v>78</v>
      </c>
      <c r="C19" s="66" t="s">
        <v>14</v>
      </c>
      <c r="D19" s="61"/>
      <c r="J19" s="61"/>
      <c r="K19" s="61"/>
      <c r="L19" s="61"/>
    </row>
    <row r="20" spans="1:12" x14ac:dyDescent="0.35">
      <c r="A20" s="73">
        <v>18</v>
      </c>
      <c r="B20" s="59" t="s">
        <v>77</v>
      </c>
      <c r="C20" s="59" t="s">
        <v>19</v>
      </c>
      <c r="D20" s="94"/>
      <c r="J20" s="61"/>
      <c r="K20" s="61"/>
      <c r="L20" s="61"/>
    </row>
    <row r="21" spans="1:12" x14ac:dyDescent="0.35">
      <c r="A21" s="73">
        <v>19</v>
      </c>
      <c r="B21" s="71" t="s">
        <v>76</v>
      </c>
      <c r="C21" s="71" t="s">
        <v>17</v>
      </c>
      <c r="D21" s="94"/>
      <c r="J21" s="61"/>
      <c r="K21" s="61"/>
      <c r="L21" s="61"/>
    </row>
    <row r="22" spans="1:12" x14ac:dyDescent="0.35">
      <c r="A22" s="73">
        <v>20</v>
      </c>
      <c r="B22" s="89" t="s">
        <v>79</v>
      </c>
      <c r="C22" s="89" t="s">
        <v>20</v>
      </c>
      <c r="D22" s="94"/>
      <c r="J22" s="61"/>
      <c r="K22" s="61"/>
      <c r="L22" s="61"/>
    </row>
    <row r="23" spans="1:12" x14ac:dyDescent="0.35">
      <c r="A23" s="73">
        <v>21</v>
      </c>
      <c r="B23" s="53" t="s">
        <v>63</v>
      </c>
      <c r="C23" s="53" t="s">
        <v>21</v>
      </c>
      <c r="D23" s="93"/>
      <c r="J23" s="61"/>
      <c r="K23" s="61"/>
      <c r="L23" s="61"/>
    </row>
    <row r="24" spans="1:12" x14ac:dyDescent="0.35">
      <c r="A24" s="73">
        <v>22</v>
      </c>
      <c r="B24" s="88" t="s">
        <v>69</v>
      </c>
      <c r="C24" s="88" t="s">
        <v>18</v>
      </c>
      <c r="D24" s="94"/>
      <c r="J24" s="61"/>
      <c r="K24" s="61"/>
      <c r="L24" s="61"/>
    </row>
    <row r="25" spans="1:12" x14ac:dyDescent="0.35">
      <c r="B25" s="61"/>
      <c r="C25" s="61"/>
      <c r="D25" s="61"/>
      <c r="J25" s="61"/>
      <c r="K25" s="61"/>
      <c r="L25" s="61"/>
    </row>
    <row r="26" spans="1:12" s="61" customFormat="1" x14ac:dyDescent="0.35">
      <c r="A26" s="95" t="s">
        <v>1171</v>
      </c>
      <c r="B26" s="95"/>
      <c r="C26" s="95"/>
      <c r="D26" s="95"/>
      <c r="E26" s="95"/>
      <c r="F26" s="95"/>
    </row>
    <row r="27" spans="1:12" x14ac:dyDescent="0.35">
      <c r="A27" s="73" t="s">
        <v>349</v>
      </c>
      <c r="B27" s="73" t="s">
        <v>27</v>
      </c>
      <c r="C27" s="73" t="s">
        <v>0</v>
      </c>
      <c r="D27" s="73" t="s">
        <v>85</v>
      </c>
      <c r="E27" s="73" t="s">
        <v>86</v>
      </c>
      <c r="F27" s="73" t="s">
        <v>28</v>
      </c>
      <c r="G27" s="61"/>
      <c r="H27" s="61"/>
      <c r="I27" s="61"/>
      <c r="J27" s="61"/>
      <c r="K27" s="61"/>
      <c r="L27" s="61"/>
    </row>
    <row r="28" spans="1:12" x14ac:dyDescent="0.35">
      <c r="A28" s="73">
        <v>1</v>
      </c>
      <c r="B28" s="62" t="s">
        <v>63</v>
      </c>
      <c r="C28" s="62" t="s">
        <v>21</v>
      </c>
      <c r="D28" s="62" t="s">
        <v>883</v>
      </c>
      <c r="E28" s="76" t="s">
        <v>874</v>
      </c>
      <c r="F28" s="62">
        <v>25</v>
      </c>
      <c r="G28" s="61"/>
      <c r="H28" s="61"/>
      <c r="I28" s="61"/>
      <c r="J28" s="61"/>
      <c r="K28" s="61"/>
      <c r="L28" s="61"/>
    </row>
    <row r="29" spans="1:12" x14ac:dyDescent="0.35">
      <c r="A29" s="73">
        <v>2</v>
      </c>
      <c r="B29" s="63" t="s">
        <v>61</v>
      </c>
      <c r="C29" s="63" t="s">
        <v>11</v>
      </c>
      <c r="D29" s="63" t="s">
        <v>884</v>
      </c>
      <c r="E29" s="74" t="s">
        <v>875</v>
      </c>
      <c r="F29" s="63">
        <v>18</v>
      </c>
    </row>
    <row r="30" spans="1:12" x14ac:dyDescent="0.35">
      <c r="A30" s="73">
        <v>3</v>
      </c>
      <c r="B30" s="65" t="s">
        <v>68</v>
      </c>
      <c r="C30" s="65" t="s">
        <v>13</v>
      </c>
      <c r="D30" s="65" t="s">
        <v>886</v>
      </c>
      <c r="E30" s="75" t="s">
        <v>876</v>
      </c>
      <c r="F30" s="65">
        <v>15</v>
      </c>
    </row>
    <row r="31" spans="1:12" x14ac:dyDescent="0.35">
      <c r="A31" s="73">
        <v>4</v>
      </c>
      <c r="B31" s="66" t="s">
        <v>72</v>
      </c>
      <c r="C31" s="66" t="s">
        <v>14</v>
      </c>
      <c r="D31" s="66" t="s">
        <v>887</v>
      </c>
      <c r="E31" s="81" t="s">
        <v>877</v>
      </c>
      <c r="F31" s="66">
        <v>12</v>
      </c>
    </row>
    <row r="32" spans="1:12" x14ac:dyDescent="0.35">
      <c r="A32" s="73">
        <v>5</v>
      </c>
      <c r="B32" s="64" t="s">
        <v>64</v>
      </c>
      <c r="C32" s="64" t="s">
        <v>12</v>
      </c>
      <c r="D32" s="87" t="s">
        <v>885</v>
      </c>
      <c r="E32" s="77" t="s">
        <v>878</v>
      </c>
      <c r="F32" s="64">
        <v>11</v>
      </c>
    </row>
    <row r="33" spans="1:6" x14ac:dyDescent="0.35">
      <c r="A33" s="73">
        <v>6</v>
      </c>
      <c r="B33" s="67" t="s">
        <v>66</v>
      </c>
      <c r="C33" s="67" t="s">
        <v>15</v>
      </c>
      <c r="D33" s="67" t="s">
        <v>889</v>
      </c>
      <c r="E33" s="78" t="s">
        <v>879</v>
      </c>
      <c r="F33" s="67">
        <v>8</v>
      </c>
    </row>
    <row r="34" spans="1:6" x14ac:dyDescent="0.35">
      <c r="A34" s="73">
        <v>7</v>
      </c>
      <c r="B34" s="64" t="s">
        <v>71</v>
      </c>
      <c r="C34" s="64" t="s">
        <v>12</v>
      </c>
      <c r="D34" s="64" t="s">
        <v>890</v>
      </c>
      <c r="E34" s="77" t="s">
        <v>880</v>
      </c>
      <c r="F34" s="64">
        <v>6</v>
      </c>
    </row>
    <row r="35" spans="1:6" x14ac:dyDescent="0.35">
      <c r="A35" s="73">
        <v>8</v>
      </c>
      <c r="B35" s="63" t="s">
        <v>65</v>
      </c>
      <c r="C35" s="63" t="s">
        <v>11</v>
      </c>
      <c r="D35" s="63" t="s">
        <v>891</v>
      </c>
      <c r="E35" s="74" t="s">
        <v>881</v>
      </c>
      <c r="F35" s="63">
        <v>4</v>
      </c>
    </row>
    <row r="36" spans="1:6" x14ac:dyDescent="0.35">
      <c r="A36" s="73">
        <v>9</v>
      </c>
      <c r="B36" s="70" t="s">
        <v>70</v>
      </c>
      <c r="C36" s="70" t="s">
        <v>16</v>
      </c>
      <c r="D36" s="70" t="s">
        <v>894</v>
      </c>
      <c r="E36" s="80" t="s">
        <v>882</v>
      </c>
      <c r="F36" s="70">
        <v>2</v>
      </c>
    </row>
    <row r="37" spans="1:6" x14ac:dyDescent="0.35">
      <c r="A37" s="73">
        <v>10</v>
      </c>
      <c r="B37" s="70" t="s">
        <v>73</v>
      </c>
      <c r="C37" s="70" t="s">
        <v>16</v>
      </c>
      <c r="D37" s="70" t="s">
        <v>892</v>
      </c>
      <c r="E37" s="80" t="s">
        <v>122</v>
      </c>
      <c r="F37" s="70">
        <v>1</v>
      </c>
    </row>
    <row r="38" spans="1:6" x14ac:dyDescent="0.35">
      <c r="A38" s="73">
        <v>11</v>
      </c>
      <c r="B38" s="67" t="s">
        <v>74</v>
      </c>
      <c r="C38" s="67" t="s">
        <v>15</v>
      </c>
      <c r="D38" s="67" t="s">
        <v>895</v>
      </c>
      <c r="E38" s="78" t="s">
        <v>122</v>
      </c>
      <c r="F38" s="67">
        <v>0</v>
      </c>
    </row>
    <row r="39" spans="1:6" x14ac:dyDescent="0.35">
      <c r="A39" s="73">
        <v>12</v>
      </c>
      <c r="B39" s="72" t="s">
        <v>69</v>
      </c>
      <c r="C39" s="72" t="s">
        <v>18</v>
      </c>
      <c r="D39" s="72" t="s">
        <v>896</v>
      </c>
      <c r="E39" s="79" t="s">
        <v>122</v>
      </c>
      <c r="F39" s="72">
        <v>0</v>
      </c>
    </row>
    <row r="40" spans="1:6" x14ac:dyDescent="0.35">
      <c r="A40" s="73">
        <v>13</v>
      </c>
      <c r="B40" s="68" t="s">
        <v>80</v>
      </c>
      <c r="C40" s="68" t="s">
        <v>19</v>
      </c>
      <c r="D40" s="68" t="s">
        <v>897</v>
      </c>
      <c r="E40" s="84" t="s">
        <v>122</v>
      </c>
      <c r="F40" s="68">
        <v>0</v>
      </c>
    </row>
    <row r="41" spans="1:6" x14ac:dyDescent="0.35">
      <c r="A41" s="73">
        <v>14</v>
      </c>
      <c r="B41" s="71" t="s">
        <v>125</v>
      </c>
      <c r="C41" s="71" t="s">
        <v>17</v>
      </c>
      <c r="D41" s="71" t="s">
        <v>893</v>
      </c>
      <c r="E41" s="83" t="s">
        <v>122</v>
      </c>
      <c r="F41" s="71">
        <v>0</v>
      </c>
    </row>
    <row r="42" spans="1:6" x14ac:dyDescent="0.35">
      <c r="A42" s="73">
        <v>15</v>
      </c>
      <c r="B42" s="66" t="s">
        <v>78</v>
      </c>
      <c r="C42" s="66" t="s">
        <v>14</v>
      </c>
      <c r="D42" s="66" t="s">
        <v>898</v>
      </c>
      <c r="E42" s="81" t="s">
        <v>122</v>
      </c>
      <c r="F42" s="66">
        <v>0</v>
      </c>
    </row>
    <row r="43" spans="1:6" x14ac:dyDescent="0.35">
      <c r="A43" s="73">
        <v>16</v>
      </c>
      <c r="B43" s="71" t="s">
        <v>76</v>
      </c>
      <c r="C43" s="71" t="s">
        <v>17</v>
      </c>
      <c r="D43" s="71" t="s">
        <v>899</v>
      </c>
      <c r="E43" s="83" t="s">
        <v>122</v>
      </c>
      <c r="F43" s="71">
        <v>0</v>
      </c>
    </row>
    <row r="44" spans="1:6" x14ac:dyDescent="0.35">
      <c r="A44" s="73">
        <v>17</v>
      </c>
      <c r="B44" s="68" t="s">
        <v>77</v>
      </c>
      <c r="C44" s="68" t="s">
        <v>19</v>
      </c>
      <c r="D44" s="68" t="s">
        <v>902</v>
      </c>
      <c r="E44" s="84" t="s">
        <v>123</v>
      </c>
      <c r="F44" s="68">
        <v>0</v>
      </c>
    </row>
    <row r="45" spans="1:6" x14ac:dyDescent="0.35">
      <c r="A45" s="73">
        <v>18</v>
      </c>
      <c r="B45" s="65" t="s">
        <v>62</v>
      </c>
      <c r="C45" s="65" t="s">
        <v>13</v>
      </c>
      <c r="D45" s="65" t="s">
        <v>888</v>
      </c>
      <c r="E45" s="75" t="s">
        <v>124</v>
      </c>
      <c r="F45" s="65" t="s">
        <v>82</v>
      </c>
    </row>
    <row r="46" spans="1:6" x14ac:dyDescent="0.35">
      <c r="A46" s="73">
        <v>19</v>
      </c>
      <c r="B46" s="69" t="s">
        <v>75</v>
      </c>
      <c r="C46" s="69" t="s">
        <v>20</v>
      </c>
      <c r="D46" s="69" t="s">
        <v>900</v>
      </c>
      <c r="E46" s="82" t="s">
        <v>124</v>
      </c>
      <c r="F46" s="69" t="s">
        <v>82</v>
      </c>
    </row>
    <row r="47" spans="1:6" x14ac:dyDescent="0.35">
      <c r="A47" s="73">
        <v>20</v>
      </c>
      <c r="B47" s="72" t="s">
        <v>67</v>
      </c>
      <c r="C47" s="72" t="s">
        <v>18</v>
      </c>
      <c r="D47" s="72" t="s">
        <v>901</v>
      </c>
      <c r="E47" s="79" t="s">
        <v>124</v>
      </c>
      <c r="F47" s="72" t="s">
        <v>82</v>
      </c>
    </row>
    <row r="48" spans="1:6" x14ac:dyDescent="0.35">
      <c r="A48" s="73">
        <v>21</v>
      </c>
      <c r="B48" s="69" t="s">
        <v>79</v>
      </c>
      <c r="C48" s="69" t="s">
        <v>20</v>
      </c>
      <c r="D48" s="69" t="s">
        <v>903</v>
      </c>
      <c r="E48" s="82" t="s">
        <v>124</v>
      </c>
      <c r="F48" s="69" t="s">
        <v>82</v>
      </c>
    </row>
    <row r="49" spans="1:6" x14ac:dyDescent="0.35">
      <c r="A49" s="73">
        <v>22</v>
      </c>
      <c r="B49" s="62" t="s">
        <v>81</v>
      </c>
      <c r="C49" s="62" t="s">
        <v>21</v>
      </c>
      <c r="D49" s="62" t="s">
        <v>753</v>
      </c>
      <c r="E49" s="76" t="s">
        <v>124</v>
      </c>
      <c r="F49" s="62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73" t="s">
        <v>0</v>
      </c>
      <c r="C52" s="73" t="s">
        <v>28</v>
      </c>
    </row>
    <row r="53" spans="1:6" x14ac:dyDescent="0.35">
      <c r="A53" s="73">
        <v>1</v>
      </c>
      <c r="B53" s="62" t="s">
        <v>21</v>
      </c>
      <c r="C53" s="62">
        <f t="shared" ref="C53:C63" si="0">SUMIF($C$28:$C$48,B53,$F$28:$F$48)</f>
        <v>25</v>
      </c>
    </row>
    <row r="54" spans="1:6" x14ac:dyDescent="0.35">
      <c r="A54" s="73">
        <v>2</v>
      </c>
      <c r="B54" s="63" t="s">
        <v>11</v>
      </c>
      <c r="C54" s="63">
        <f t="shared" si="0"/>
        <v>22</v>
      </c>
    </row>
    <row r="55" spans="1:6" x14ac:dyDescent="0.35">
      <c r="A55" s="73">
        <v>3</v>
      </c>
      <c r="B55" s="64" t="s">
        <v>12</v>
      </c>
      <c r="C55" s="64">
        <f t="shared" si="0"/>
        <v>17</v>
      </c>
    </row>
    <row r="56" spans="1:6" x14ac:dyDescent="0.35">
      <c r="A56" s="73">
        <v>4</v>
      </c>
      <c r="B56" s="65" t="s">
        <v>13</v>
      </c>
      <c r="C56" s="65">
        <f t="shared" si="0"/>
        <v>15</v>
      </c>
    </row>
    <row r="57" spans="1:6" x14ac:dyDescent="0.35">
      <c r="A57" s="73">
        <v>5</v>
      </c>
      <c r="B57" s="66" t="s">
        <v>14</v>
      </c>
      <c r="C57" s="66">
        <f t="shared" si="0"/>
        <v>12</v>
      </c>
    </row>
    <row r="58" spans="1:6" x14ac:dyDescent="0.35">
      <c r="A58" s="73">
        <v>6</v>
      </c>
      <c r="B58" s="67" t="s">
        <v>15</v>
      </c>
      <c r="C58" s="67">
        <f t="shared" si="0"/>
        <v>8</v>
      </c>
    </row>
    <row r="59" spans="1:6" x14ac:dyDescent="0.35">
      <c r="A59" s="73">
        <v>7</v>
      </c>
      <c r="B59" s="70" t="s">
        <v>16</v>
      </c>
      <c r="C59" s="70">
        <f t="shared" si="0"/>
        <v>3</v>
      </c>
    </row>
    <row r="60" spans="1:6" x14ac:dyDescent="0.35">
      <c r="A60" s="73">
        <v>8</v>
      </c>
      <c r="B60" s="69" t="s">
        <v>20</v>
      </c>
      <c r="C60" s="69">
        <f t="shared" si="0"/>
        <v>0</v>
      </c>
    </row>
    <row r="61" spans="1:6" x14ac:dyDescent="0.35">
      <c r="A61" s="73">
        <v>9</v>
      </c>
      <c r="B61" s="68" t="s">
        <v>19</v>
      </c>
      <c r="C61" s="68">
        <f t="shared" si="0"/>
        <v>0</v>
      </c>
    </row>
    <row r="62" spans="1:6" x14ac:dyDescent="0.35">
      <c r="A62" s="73">
        <v>10</v>
      </c>
      <c r="B62" s="72" t="s">
        <v>18</v>
      </c>
      <c r="C62" s="72">
        <f t="shared" si="0"/>
        <v>0</v>
      </c>
    </row>
    <row r="63" spans="1:6" x14ac:dyDescent="0.35">
      <c r="A63" s="73">
        <v>11</v>
      </c>
      <c r="B63" s="71" t="s">
        <v>17</v>
      </c>
      <c r="C63" s="7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0CF1-8EA7-4169-8AAC-FF0871D183D0}">
  <dimension ref="A1:L63"/>
  <sheetViews>
    <sheetView topLeftCell="A25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2.0898437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s="61" customFormat="1" x14ac:dyDescent="0.35">
      <c r="A1" s="96" t="s">
        <v>1170</v>
      </c>
      <c r="B1" s="96"/>
      <c r="C1" s="96"/>
    </row>
    <row r="2" spans="1:12" x14ac:dyDescent="0.35">
      <c r="A2" s="73" t="s">
        <v>349</v>
      </c>
      <c r="B2" s="73" t="s">
        <v>27</v>
      </c>
      <c r="C2" s="73" t="s">
        <v>0</v>
      </c>
      <c r="D2" s="39"/>
      <c r="J2" s="61"/>
    </row>
    <row r="3" spans="1:12" x14ac:dyDescent="0.35">
      <c r="A3" s="73">
        <v>1</v>
      </c>
      <c r="B3" s="85" t="s">
        <v>63</v>
      </c>
      <c r="C3" s="85" t="s">
        <v>21</v>
      </c>
      <c r="D3" s="40"/>
      <c r="J3" s="61"/>
    </row>
    <row r="4" spans="1:12" x14ac:dyDescent="0.35">
      <c r="A4" s="73">
        <v>2</v>
      </c>
      <c r="B4" s="67" t="s">
        <v>66</v>
      </c>
      <c r="C4" s="67" t="s">
        <v>15</v>
      </c>
      <c r="D4" s="40"/>
      <c r="J4" s="61"/>
    </row>
    <row r="5" spans="1:12" x14ac:dyDescent="0.35">
      <c r="A5" s="73">
        <v>3</v>
      </c>
      <c r="B5" s="91" t="s">
        <v>67</v>
      </c>
      <c r="C5" s="91" t="s">
        <v>18</v>
      </c>
      <c r="D5" s="41"/>
      <c r="J5" s="61"/>
    </row>
    <row r="6" spans="1:12" x14ac:dyDescent="0.35">
      <c r="A6" s="73">
        <v>4</v>
      </c>
      <c r="B6" s="64" t="s">
        <v>64</v>
      </c>
      <c r="C6" s="64" t="s">
        <v>12</v>
      </c>
      <c r="D6" s="41"/>
      <c r="J6" s="61"/>
    </row>
    <row r="7" spans="1:12" x14ac:dyDescent="0.35">
      <c r="A7" s="73">
        <v>5</v>
      </c>
      <c r="B7" s="63" t="s">
        <v>61</v>
      </c>
      <c r="C7" s="63" t="s">
        <v>11</v>
      </c>
      <c r="D7" s="61"/>
      <c r="J7" s="61"/>
    </row>
    <row r="8" spans="1:12" x14ac:dyDescent="0.35">
      <c r="A8" s="73">
        <v>6</v>
      </c>
      <c r="B8" s="65" t="s">
        <v>68</v>
      </c>
      <c r="C8" s="65" t="s">
        <v>13</v>
      </c>
      <c r="D8" s="40"/>
      <c r="J8" s="61"/>
    </row>
    <row r="9" spans="1:12" x14ac:dyDescent="0.35">
      <c r="A9" s="73">
        <v>7</v>
      </c>
      <c r="B9" s="71" t="s">
        <v>76</v>
      </c>
      <c r="C9" s="71" t="s">
        <v>17</v>
      </c>
      <c r="D9" s="61"/>
      <c r="J9" s="61"/>
    </row>
    <row r="10" spans="1:12" x14ac:dyDescent="0.35">
      <c r="A10" s="73">
        <v>8</v>
      </c>
      <c r="B10" s="66" t="s">
        <v>72</v>
      </c>
      <c r="C10" s="66" t="s">
        <v>14</v>
      </c>
      <c r="D10" s="40"/>
      <c r="J10" s="61"/>
    </row>
    <row r="11" spans="1:12" x14ac:dyDescent="0.35">
      <c r="A11" s="73">
        <v>9</v>
      </c>
      <c r="B11" s="63" t="s">
        <v>65</v>
      </c>
      <c r="C11" s="63" t="s">
        <v>11</v>
      </c>
      <c r="D11" s="41"/>
      <c r="J11" s="61"/>
    </row>
    <row r="12" spans="1:12" x14ac:dyDescent="0.35">
      <c r="A12" s="73">
        <v>10</v>
      </c>
      <c r="B12" s="85" t="s">
        <v>81</v>
      </c>
      <c r="C12" s="85" t="s">
        <v>21</v>
      </c>
      <c r="D12" s="41"/>
      <c r="J12" s="61"/>
    </row>
    <row r="13" spans="1:12" x14ac:dyDescent="0.35">
      <c r="A13" s="73">
        <v>11</v>
      </c>
      <c r="B13" s="88" t="s">
        <v>69</v>
      </c>
      <c r="C13" s="88" t="s">
        <v>18</v>
      </c>
      <c r="D13" s="41"/>
      <c r="J13" s="61"/>
    </row>
    <row r="14" spans="1:12" x14ac:dyDescent="0.35">
      <c r="A14" s="73">
        <v>12</v>
      </c>
      <c r="B14" s="92" t="s">
        <v>78</v>
      </c>
      <c r="C14" s="92" t="s">
        <v>14</v>
      </c>
      <c r="D14" s="41"/>
      <c r="J14" s="61"/>
      <c r="K14" s="61"/>
      <c r="L14" s="61"/>
    </row>
    <row r="15" spans="1:12" x14ac:dyDescent="0.35">
      <c r="A15" s="73">
        <v>13</v>
      </c>
      <c r="B15" s="65" t="s">
        <v>62</v>
      </c>
      <c r="C15" s="65" t="s">
        <v>13</v>
      </c>
      <c r="D15" s="41"/>
      <c r="J15" s="61"/>
      <c r="K15" s="61"/>
      <c r="L15" s="61"/>
    </row>
    <row r="16" spans="1:12" x14ac:dyDescent="0.35">
      <c r="A16" s="73">
        <v>14</v>
      </c>
      <c r="B16" s="89" t="s">
        <v>75</v>
      </c>
      <c r="C16" s="89" t="s">
        <v>20</v>
      </c>
      <c r="D16" s="40"/>
      <c r="J16" s="61"/>
      <c r="K16" s="61"/>
      <c r="L16" s="61"/>
    </row>
    <row r="17" spans="1:12" x14ac:dyDescent="0.35">
      <c r="A17" s="73">
        <v>15</v>
      </c>
      <c r="B17" s="64" t="s">
        <v>71</v>
      </c>
      <c r="C17" s="64" t="s">
        <v>12</v>
      </c>
      <c r="D17" s="41"/>
      <c r="J17" s="61"/>
      <c r="K17" s="61"/>
      <c r="L17" s="61"/>
    </row>
    <row r="18" spans="1:12" x14ac:dyDescent="0.35">
      <c r="A18" s="73">
        <v>16</v>
      </c>
      <c r="B18" s="68" t="s">
        <v>80</v>
      </c>
      <c r="C18" s="68" t="s">
        <v>19</v>
      </c>
      <c r="D18" s="40"/>
      <c r="J18" s="61"/>
      <c r="K18" s="61"/>
      <c r="L18" s="61"/>
    </row>
    <row r="19" spans="1:12" x14ac:dyDescent="0.35">
      <c r="A19" s="73">
        <v>17</v>
      </c>
      <c r="B19" s="69" t="s">
        <v>79</v>
      </c>
      <c r="C19" s="69" t="s">
        <v>20</v>
      </c>
      <c r="D19" s="61"/>
      <c r="J19" s="61"/>
      <c r="K19" s="61"/>
      <c r="L19" s="61"/>
    </row>
    <row r="20" spans="1:12" x14ac:dyDescent="0.35">
      <c r="A20" s="73">
        <v>18</v>
      </c>
      <c r="B20" s="71" t="s">
        <v>125</v>
      </c>
      <c r="C20" s="71" t="s">
        <v>17</v>
      </c>
      <c r="D20" s="41"/>
      <c r="J20" s="61"/>
      <c r="K20" s="61"/>
      <c r="L20" s="61"/>
    </row>
    <row r="21" spans="1:12" x14ac:dyDescent="0.35">
      <c r="A21" s="73">
        <v>19</v>
      </c>
      <c r="B21" s="90" t="s">
        <v>70</v>
      </c>
      <c r="C21" s="90" t="s">
        <v>16</v>
      </c>
      <c r="D21" s="41"/>
      <c r="J21" s="61"/>
      <c r="K21" s="61"/>
      <c r="L21" s="61"/>
    </row>
    <row r="22" spans="1:12" x14ac:dyDescent="0.35">
      <c r="A22" s="73">
        <v>20</v>
      </c>
      <c r="B22" s="67" t="s">
        <v>74</v>
      </c>
      <c r="C22" s="67" t="s">
        <v>15</v>
      </c>
      <c r="D22" s="41"/>
      <c r="J22" s="61"/>
      <c r="K22" s="61"/>
      <c r="L22" s="61"/>
    </row>
    <row r="23" spans="1:12" x14ac:dyDescent="0.35">
      <c r="A23" s="73">
        <v>21</v>
      </c>
      <c r="B23" s="70" t="s">
        <v>73</v>
      </c>
      <c r="C23" s="70" t="s">
        <v>16</v>
      </c>
      <c r="D23" s="40"/>
      <c r="J23" s="61"/>
      <c r="K23" s="61"/>
      <c r="L23" s="61"/>
    </row>
    <row r="24" spans="1:12" x14ac:dyDescent="0.35">
      <c r="A24" s="73">
        <v>22</v>
      </c>
      <c r="B24" s="68" t="s">
        <v>77</v>
      </c>
      <c r="C24" s="68" t="s">
        <v>19</v>
      </c>
      <c r="D24" s="41"/>
      <c r="J24" s="61"/>
      <c r="K24" s="61"/>
      <c r="L24" s="61"/>
    </row>
    <row r="26" spans="1:12" s="61" customFormat="1" x14ac:dyDescent="0.35">
      <c r="A26" s="95" t="s">
        <v>1171</v>
      </c>
      <c r="B26" s="95"/>
      <c r="C26" s="95"/>
      <c r="D26" s="95"/>
      <c r="E26" s="95"/>
      <c r="F26" s="95"/>
    </row>
    <row r="27" spans="1:12" x14ac:dyDescent="0.35">
      <c r="A27" s="73" t="s">
        <v>349</v>
      </c>
      <c r="B27" s="73" t="s">
        <v>27</v>
      </c>
      <c r="C27" s="73" t="s">
        <v>0</v>
      </c>
      <c r="D27" s="73" t="s">
        <v>85</v>
      </c>
      <c r="E27" s="73" t="s">
        <v>86</v>
      </c>
      <c r="F27" s="73" t="s">
        <v>28</v>
      </c>
    </row>
    <row r="28" spans="1:12" x14ac:dyDescent="0.35">
      <c r="A28" s="73">
        <v>1</v>
      </c>
      <c r="B28" s="72" t="s">
        <v>67</v>
      </c>
      <c r="C28" s="72" t="s">
        <v>18</v>
      </c>
      <c r="D28" s="72" t="s">
        <v>904</v>
      </c>
      <c r="E28" s="79" t="s">
        <v>925</v>
      </c>
      <c r="F28" s="72">
        <v>8</v>
      </c>
    </row>
    <row r="29" spans="1:12" x14ac:dyDescent="0.35">
      <c r="A29" s="73">
        <v>2</v>
      </c>
      <c r="B29" s="63" t="s">
        <v>61</v>
      </c>
      <c r="C29" s="63" t="s">
        <v>11</v>
      </c>
      <c r="D29" s="63" t="s">
        <v>905</v>
      </c>
      <c r="E29" s="74" t="s">
        <v>926</v>
      </c>
      <c r="F29" s="63">
        <v>7</v>
      </c>
    </row>
    <row r="30" spans="1:12" x14ac:dyDescent="0.35">
      <c r="A30" s="73">
        <v>3</v>
      </c>
      <c r="B30" s="67" t="s">
        <v>66</v>
      </c>
      <c r="C30" s="67" t="s">
        <v>15</v>
      </c>
      <c r="D30" s="67" t="s">
        <v>906</v>
      </c>
      <c r="E30" s="78" t="s">
        <v>927</v>
      </c>
      <c r="F30" s="67">
        <v>6</v>
      </c>
    </row>
    <row r="31" spans="1:12" x14ac:dyDescent="0.35">
      <c r="A31" s="73">
        <v>4</v>
      </c>
      <c r="B31" s="64" t="s">
        <v>64</v>
      </c>
      <c r="C31" s="64" t="s">
        <v>12</v>
      </c>
      <c r="D31" s="64" t="s">
        <v>907</v>
      </c>
      <c r="E31" s="77" t="s">
        <v>928</v>
      </c>
      <c r="F31" s="64">
        <v>5</v>
      </c>
    </row>
    <row r="32" spans="1:12" x14ac:dyDescent="0.35">
      <c r="A32" s="73">
        <v>5</v>
      </c>
      <c r="B32" s="66" t="s">
        <v>72</v>
      </c>
      <c r="C32" s="66" t="s">
        <v>14</v>
      </c>
      <c r="D32" s="66" t="s">
        <v>908</v>
      </c>
      <c r="E32" s="81" t="s">
        <v>929</v>
      </c>
      <c r="F32" s="66">
        <v>4</v>
      </c>
    </row>
    <row r="33" spans="1:6" x14ac:dyDescent="0.35">
      <c r="A33" s="73">
        <v>6</v>
      </c>
      <c r="B33" s="65" t="s">
        <v>62</v>
      </c>
      <c r="C33" s="65" t="s">
        <v>13</v>
      </c>
      <c r="D33" s="65" t="s">
        <v>909</v>
      </c>
      <c r="E33" s="75" t="s">
        <v>930</v>
      </c>
      <c r="F33" s="65">
        <v>3</v>
      </c>
    </row>
    <row r="34" spans="1:6" x14ac:dyDescent="0.35">
      <c r="A34" s="73">
        <v>7</v>
      </c>
      <c r="B34" s="63" t="s">
        <v>65</v>
      </c>
      <c r="C34" s="63" t="s">
        <v>11</v>
      </c>
      <c r="D34" s="63" t="s">
        <v>910</v>
      </c>
      <c r="E34" s="74" t="s">
        <v>931</v>
      </c>
      <c r="F34" s="63">
        <v>2</v>
      </c>
    </row>
    <row r="35" spans="1:6" x14ac:dyDescent="0.35">
      <c r="A35" s="73">
        <v>8</v>
      </c>
      <c r="B35" s="64" t="s">
        <v>71</v>
      </c>
      <c r="C35" s="64" t="s">
        <v>12</v>
      </c>
      <c r="D35" s="64" t="s">
        <v>911</v>
      </c>
      <c r="E35" s="77" t="s">
        <v>932</v>
      </c>
      <c r="F35" s="64">
        <v>1</v>
      </c>
    </row>
    <row r="36" spans="1:6" x14ac:dyDescent="0.35">
      <c r="A36" s="73">
        <v>9</v>
      </c>
      <c r="B36" s="65" t="s">
        <v>68</v>
      </c>
      <c r="C36" s="65" t="s">
        <v>13</v>
      </c>
      <c r="D36" s="65" t="s">
        <v>912</v>
      </c>
      <c r="E36" s="75" t="s">
        <v>933</v>
      </c>
      <c r="F36" s="65">
        <v>0</v>
      </c>
    </row>
    <row r="37" spans="1:6" x14ac:dyDescent="0.35">
      <c r="A37" s="73">
        <v>10</v>
      </c>
      <c r="B37" s="71" t="s">
        <v>76</v>
      </c>
      <c r="C37" s="71" t="s">
        <v>17</v>
      </c>
      <c r="D37" s="71" t="s">
        <v>913</v>
      </c>
      <c r="E37" s="83" t="s">
        <v>934</v>
      </c>
      <c r="F37" s="71">
        <v>0</v>
      </c>
    </row>
    <row r="38" spans="1:6" x14ac:dyDescent="0.35">
      <c r="A38" s="73">
        <v>11</v>
      </c>
      <c r="B38" s="68" t="s">
        <v>80</v>
      </c>
      <c r="C38" s="68" t="s">
        <v>19</v>
      </c>
      <c r="D38" s="68" t="s">
        <v>914</v>
      </c>
      <c r="E38" s="84" t="s">
        <v>935</v>
      </c>
      <c r="F38" s="68">
        <v>0</v>
      </c>
    </row>
    <row r="39" spans="1:6" x14ac:dyDescent="0.35">
      <c r="A39" s="73">
        <v>12</v>
      </c>
      <c r="B39" s="70" t="s">
        <v>73</v>
      </c>
      <c r="C39" s="70" t="s">
        <v>16</v>
      </c>
      <c r="D39" s="70" t="s">
        <v>915</v>
      </c>
      <c r="E39" s="80" t="s">
        <v>936</v>
      </c>
      <c r="F39" s="70">
        <v>0</v>
      </c>
    </row>
    <row r="40" spans="1:6" x14ac:dyDescent="0.35">
      <c r="A40" s="73">
        <v>13</v>
      </c>
      <c r="B40" s="68" t="s">
        <v>77</v>
      </c>
      <c r="C40" s="68" t="s">
        <v>19</v>
      </c>
      <c r="D40" s="68" t="s">
        <v>916</v>
      </c>
      <c r="E40" s="84" t="s">
        <v>937</v>
      </c>
      <c r="F40" s="68">
        <v>0</v>
      </c>
    </row>
    <row r="41" spans="1:6" x14ac:dyDescent="0.35">
      <c r="A41" s="73">
        <v>14</v>
      </c>
      <c r="B41" s="69" t="s">
        <v>75</v>
      </c>
      <c r="C41" s="69" t="s">
        <v>20</v>
      </c>
      <c r="D41" s="69" t="s">
        <v>917</v>
      </c>
      <c r="E41" s="82" t="s">
        <v>938</v>
      </c>
      <c r="F41" s="69">
        <v>0</v>
      </c>
    </row>
    <row r="42" spans="1:6" x14ac:dyDescent="0.35">
      <c r="A42" s="73">
        <v>15</v>
      </c>
      <c r="B42" s="72" t="s">
        <v>69</v>
      </c>
      <c r="C42" s="72" t="s">
        <v>18</v>
      </c>
      <c r="D42" s="72" t="s">
        <v>918</v>
      </c>
      <c r="E42" s="79" t="s">
        <v>939</v>
      </c>
      <c r="F42" s="72">
        <v>0</v>
      </c>
    </row>
    <row r="43" spans="1:6" x14ac:dyDescent="0.35">
      <c r="A43" s="73">
        <v>16</v>
      </c>
      <c r="B43" s="66" t="s">
        <v>78</v>
      </c>
      <c r="C43" s="66" t="s">
        <v>14</v>
      </c>
      <c r="D43" s="66" t="s">
        <v>919</v>
      </c>
      <c r="E43" s="81" t="s">
        <v>940</v>
      </c>
      <c r="F43" s="66">
        <v>0</v>
      </c>
    </row>
    <row r="44" spans="1:6" x14ac:dyDescent="0.35">
      <c r="A44" s="73">
        <v>17</v>
      </c>
      <c r="B44" s="67" t="s">
        <v>74</v>
      </c>
      <c r="C44" s="67" t="s">
        <v>15</v>
      </c>
      <c r="D44" s="67" t="s">
        <v>920</v>
      </c>
      <c r="E44" s="78" t="s">
        <v>941</v>
      </c>
      <c r="F44" s="67">
        <v>0</v>
      </c>
    </row>
    <row r="45" spans="1:6" x14ac:dyDescent="0.35">
      <c r="A45" s="73">
        <v>18</v>
      </c>
      <c r="B45" s="71" t="s">
        <v>125</v>
      </c>
      <c r="C45" s="71" t="s">
        <v>17</v>
      </c>
      <c r="D45" s="71" t="s">
        <v>921</v>
      </c>
      <c r="E45" s="83" t="s">
        <v>942</v>
      </c>
      <c r="F45" s="71">
        <v>0</v>
      </c>
    </row>
    <row r="46" spans="1:6" x14ac:dyDescent="0.35">
      <c r="A46" s="73">
        <v>19</v>
      </c>
      <c r="B46" s="62" t="s">
        <v>63</v>
      </c>
      <c r="C46" s="62" t="s">
        <v>21</v>
      </c>
      <c r="D46" s="87" t="s">
        <v>922</v>
      </c>
      <c r="E46" s="76" t="s">
        <v>122</v>
      </c>
      <c r="F46" s="62">
        <v>0</v>
      </c>
    </row>
    <row r="47" spans="1:6" x14ac:dyDescent="0.35">
      <c r="A47" s="73">
        <v>20</v>
      </c>
      <c r="B47" s="85" t="s">
        <v>81</v>
      </c>
      <c r="C47" s="85" t="s">
        <v>21</v>
      </c>
      <c r="D47" s="85" t="s">
        <v>923</v>
      </c>
      <c r="E47" s="52" t="s">
        <v>122</v>
      </c>
      <c r="F47" s="85">
        <v>0</v>
      </c>
    </row>
    <row r="48" spans="1:6" x14ac:dyDescent="0.35">
      <c r="A48" s="73">
        <v>21</v>
      </c>
      <c r="B48" s="69" t="s">
        <v>79</v>
      </c>
      <c r="C48" s="69" t="s">
        <v>20</v>
      </c>
      <c r="D48" s="69" t="s">
        <v>924</v>
      </c>
      <c r="E48" s="82" t="s">
        <v>124</v>
      </c>
      <c r="F48" s="69" t="s">
        <v>82</v>
      </c>
    </row>
    <row r="49" spans="1:6" x14ac:dyDescent="0.35">
      <c r="A49" s="73">
        <v>22</v>
      </c>
      <c r="B49" s="70" t="s">
        <v>70</v>
      </c>
      <c r="C49" s="70" t="s">
        <v>16</v>
      </c>
      <c r="D49" s="70" t="s">
        <v>440</v>
      </c>
      <c r="E49" s="80" t="s">
        <v>124</v>
      </c>
      <c r="F49" s="70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73" t="s">
        <v>0</v>
      </c>
      <c r="C52" s="73" t="s">
        <v>28</v>
      </c>
    </row>
    <row r="53" spans="1:6" x14ac:dyDescent="0.35">
      <c r="A53" s="73">
        <v>1</v>
      </c>
      <c r="B53" s="63" t="s">
        <v>11</v>
      </c>
      <c r="C53" s="63">
        <f t="shared" ref="C53:C63" si="0">SUMIF($C$28:$C$45,B53,$F$28:$F$45)</f>
        <v>9</v>
      </c>
    </row>
    <row r="54" spans="1:6" x14ac:dyDescent="0.35">
      <c r="A54" s="73">
        <v>2</v>
      </c>
      <c r="B54" s="72" t="s">
        <v>18</v>
      </c>
      <c r="C54" s="72">
        <f t="shared" si="0"/>
        <v>8</v>
      </c>
    </row>
    <row r="55" spans="1:6" x14ac:dyDescent="0.35">
      <c r="A55" s="73">
        <v>3</v>
      </c>
      <c r="B55" s="67" t="s">
        <v>15</v>
      </c>
      <c r="C55" s="67">
        <f t="shared" si="0"/>
        <v>6</v>
      </c>
    </row>
    <row r="56" spans="1:6" x14ac:dyDescent="0.35">
      <c r="A56" s="73">
        <v>4</v>
      </c>
      <c r="B56" s="64" t="s">
        <v>12</v>
      </c>
      <c r="C56" s="64">
        <f t="shared" si="0"/>
        <v>6</v>
      </c>
    </row>
    <row r="57" spans="1:6" x14ac:dyDescent="0.35">
      <c r="A57" s="73">
        <v>5</v>
      </c>
      <c r="B57" s="66" t="s">
        <v>14</v>
      </c>
      <c r="C57" s="66">
        <f t="shared" si="0"/>
        <v>4</v>
      </c>
    </row>
    <row r="58" spans="1:6" x14ac:dyDescent="0.35">
      <c r="A58" s="73">
        <v>6</v>
      </c>
      <c r="B58" s="65" t="s">
        <v>13</v>
      </c>
      <c r="C58" s="65">
        <f t="shared" si="0"/>
        <v>3</v>
      </c>
    </row>
    <row r="59" spans="1:6" x14ac:dyDescent="0.35">
      <c r="A59" s="73">
        <v>7</v>
      </c>
      <c r="B59" s="70" t="s">
        <v>16</v>
      </c>
      <c r="C59" s="70">
        <f t="shared" si="0"/>
        <v>0</v>
      </c>
    </row>
    <row r="60" spans="1:6" x14ac:dyDescent="0.35">
      <c r="A60" s="73">
        <v>8</v>
      </c>
      <c r="B60" s="69" t="s">
        <v>20</v>
      </c>
      <c r="C60" s="69">
        <f t="shared" si="0"/>
        <v>0</v>
      </c>
    </row>
    <row r="61" spans="1:6" x14ac:dyDescent="0.35">
      <c r="A61" s="73">
        <v>9</v>
      </c>
      <c r="B61" s="68" t="s">
        <v>19</v>
      </c>
      <c r="C61" s="68">
        <f t="shared" si="0"/>
        <v>0</v>
      </c>
    </row>
    <row r="62" spans="1:6" x14ac:dyDescent="0.35">
      <c r="A62" s="73">
        <v>10</v>
      </c>
      <c r="B62" s="62" t="s">
        <v>21</v>
      </c>
      <c r="C62" s="62">
        <f t="shared" si="0"/>
        <v>0</v>
      </c>
    </row>
    <row r="63" spans="1:6" x14ac:dyDescent="0.35">
      <c r="A63" s="73">
        <v>11</v>
      </c>
      <c r="B63" s="71" t="s">
        <v>17</v>
      </c>
      <c r="C63" s="7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9626-9BB5-486D-846E-4DD61DCFAF46}">
  <dimension ref="A1:L63"/>
  <sheetViews>
    <sheetView topLeftCell="A25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2.0898437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s="61" customFormat="1" x14ac:dyDescent="0.35">
      <c r="A1" s="96" t="s">
        <v>1170</v>
      </c>
      <c r="B1" s="96"/>
      <c r="C1" s="96"/>
    </row>
    <row r="2" spans="1:12" x14ac:dyDescent="0.35">
      <c r="A2" s="73" t="s">
        <v>349</v>
      </c>
      <c r="B2" s="73" t="s">
        <v>27</v>
      </c>
      <c r="C2" s="73" t="s">
        <v>0</v>
      </c>
      <c r="D2" s="60"/>
      <c r="J2" s="61"/>
    </row>
    <row r="3" spans="1:12" x14ac:dyDescent="0.35">
      <c r="A3" s="73">
        <v>1</v>
      </c>
      <c r="B3" s="66" t="s">
        <v>72</v>
      </c>
      <c r="C3" s="66" t="s">
        <v>14</v>
      </c>
      <c r="D3" s="93"/>
      <c r="J3" s="61"/>
    </row>
    <row r="4" spans="1:12" x14ac:dyDescent="0.35">
      <c r="A4" s="73">
        <v>2</v>
      </c>
      <c r="B4" s="65" t="s">
        <v>68</v>
      </c>
      <c r="C4" s="65" t="s">
        <v>13</v>
      </c>
      <c r="D4" s="93"/>
      <c r="J4" s="61"/>
    </row>
    <row r="5" spans="1:12" x14ac:dyDescent="0.35">
      <c r="A5" s="73">
        <v>3</v>
      </c>
      <c r="B5" s="53" t="s">
        <v>63</v>
      </c>
      <c r="C5" s="53" t="s">
        <v>21</v>
      </c>
      <c r="D5" s="94"/>
      <c r="J5" s="61"/>
    </row>
    <row r="6" spans="1:12" x14ac:dyDescent="0.35">
      <c r="A6" s="73">
        <v>4</v>
      </c>
      <c r="B6" s="63" t="s">
        <v>61</v>
      </c>
      <c r="C6" s="63" t="s">
        <v>11</v>
      </c>
      <c r="D6" s="94"/>
      <c r="J6" s="61"/>
    </row>
    <row r="7" spans="1:12" x14ac:dyDescent="0.35">
      <c r="A7" s="73">
        <v>5</v>
      </c>
      <c r="B7" s="72" t="s">
        <v>67</v>
      </c>
      <c r="C7" s="72" t="s">
        <v>18</v>
      </c>
      <c r="D7" s="61"/>
      <c r="J7" s="61"/>
    </row>
    <row r="8" spans="1:12" x14ac:dyDescent="0.35">
      <c r="A8" s="73">
        <v>6</v>
      </c>
      <c r="B8" s="67" t="s">
        <v>66</v>
      </c>
      <c r="C8" s="67" t="s">
        <v>15</v>
      </c>
      <c r="D8" s="93"/>
      <c r="J8" s="61"/>
    </row>
    <row r="9" spans="1:12" x14ac:dyDescent="0.35">
      <c r="A9" s="73">
        <v>7</v>
      </c>
      <c r="B9" s="64" t="s">
        <v>64</v>
      </c>
      <c r="C9" s="64" t="s">
        <v>12</v>
      </c>
      <c r="D9" s="61"/>
      <c r="J9" s="61"/>
    </row>
    <row r="10" spans="1:12" x14ac:dyDescent="0.35">
      <c r="A10" s="73">
        <v>8</v>
      </c>
      <c r="B10" s="65" t="s">
        <v>62</v>
      </c>
      <c r="C10" s="65" t="s">
        <v>13</v>
      </c>
      <c r="D10" s="93"/>
      <c r="J10" s="61"/>
    </row>
    <row r="11" spans="1:12" x14ac:dyDescent="0.35">
      <c r="A11" s="73">
        <v>9</v>
      </c>
      <c r="B11" s="71" t="s">
        <v>76</v>
      </c>
      <c r="C11" s="71" t="s">
        <v>17</v>
      </c>
      <c r="D11" s="94"/>
      <c r="J11" s="61"/>
    </row>
    <row r="12" spans="1:12" x14ac:dyDescent="0.35">
      <c r="A12" s="73">
        <v>10</v>
      </c>
      <c r="B12" s="62" t="s">
        <v>81</v>
      </c>
      <c r="C12" s="62" t="s">
        <v>21</v>
      </c>
      <c r="D12" s="94"/>
      <c r="J12" s="61"/>
    </row>
    <row r="13" spans="1:12" x14ac:dyDescent="0.35">
      <c r="A13" s="73">
        <v>11</v>
      </c>
      <c r="B13" s="71" t="s">
        <v>125</v>
      </c>
      <c r="C13" s="71" t="s">
        <v>17</v>
      </c>
      <c r="D13" s="94"/>
      <c r="J13" s="61"/>
    </row>
    <row r="14" spans="1:12" x14ac:dyDescent="0.35">
      <c r="A14" s="73">
        <v>12</v>
      </c>
      <c r="B14" s="64" t="s">
        <v>71</v>
      </c>
      <c r="C14" s="64" t="s">
        <v>12</v>
      </c>
      <c r="D14" s="94"/>
      <c r="J14" s="61"/>
      <c r="K14" s="61"/>
      <c r="L14" s="61"/>
    </row>
    <row r="15" spans="1:12" x14ac:dyDescent="0.35">
      <c r="A15" s="73">
        <v>13</v>
      </c>
      <c r="B15" s="89" t="s">
        <v>75</v>
      </c>
      <c r="C15" s="89" t="s">
        <v>20</v>
      </c>
      <c r="D15" s="94"/>
      <c r="J15" s="61"/>
      <c r="K15" s="61"/>
      <c r="L15" s="61"/>
    </row>
    <row r="16" spans="1:12" x14ac:dyDescent="0.35">
      <c r="A16" s="73">
        <v>14</v>
      </c>
      <c r="B16" s="70" t="s">
        <v>73</v>
      </c>
      <c r="C16" s="70" t="s">
        <v>16</v>
      </c>
      <c r="D16" s="93"/>
      <c r="J16" s="61"/>
      <c r="K16" s="61"/>
      <c r="L16" s="61"/>
    </row>
    <row r="17" spans="1:12" x14ac:dyDescent="0.35">
      <c r="A17" s="73">
        <v>15</v>
      </c>
      <c r="B17" s="66" t="s">
        <v>78</v>
      </c>
      <c r="C17" s="66" t="s">
        <v>14</v>
      </c>
      <c r="D17" s="94"/>
      <c r="J17" s="61"/>
      <c r="K17" s="61"/>
      <c r="L17" s="61"/>
    </row>
    <row r="18" spans="1:12" x14ac:dyDescent="0.35">
      <c r="A18" s="73">
        <v>16</v>
      </c>
      <c r="B18" s="67" t="s">
        <v>74</v>
      </c>
      <c r="C18" s="67" t="s">
        <v>15</v>
      </c>
      <c r="D18" s="93"/>
      <c r="J18" s="61"/>
      <c r="K18" s="61"/>
      <c r="L18" s="61"/>
    </row>
    <row r="19" spans="1:12" x14ac:dyDescent="0.35">
      <c r="A19" s="73">
        <v>17</v>
      </c>
      <c r="B19" s="88" t="s">
        <v>69</v>
      </c>
      <c r="C19" s="88" t="s">
        <v>18</v>
      </c>
      <c r="D19" s="61"/>
      <c r="J19" s="61"/>
      <c r="K19" s="61"/>
      <c r="L19" s="61"/>
    </row>
    <row r="20" spans="1:12" x14ac:dyDescent="0.35">
      <c r="A20" s="73">
        <v>18</v>
      </c>
      <c r="B20" s="59" t="s">
        <v>77</v>
      </c>
      <c r="C20" s="59" t="s">
        <v>19</v>
      </c>
      <c r="D20" s="94"/>
      <c r="J20" s="61"/>
      <c r="K20" s="61"/>
      <c r="L20" s="61"/>
    </row>
    <row r="21" spans="1:12" x14ac:dyDescent="0.35">
      <c r="A21" s="73">
        <v>19</v>
      </c>
      <c r="B21" s="68" t="s">
        <v>80</v>
      </c>
      <c r="C21" s="68" t="s">
        <v>19</v>
      </c>
      <c r="D21" s="94"/>
      <c r="J21" s="61"/>
      <c r="K21" s="61"/>
      <c r="L21" s="61"/>
    </row>
    <row r="22" spans="1:12" x14ac:dyDescent="0.35">
      <c r="A22" s="73">
        <v>20</v>
      </c>
      <c r="B22" s="89" t="s">
        <v>79</v>
      </c>
      <c r="C22" s="89" t="s">
        <v>20</v>
      </c>
      <c r="D22" s="94"/>
      <c r="J22" s="61"/>
      <c r="K22" s="61"/>
      <c r="L22" s="61"/>
    </row>
    <row r="23" spans="1:12" x14ac:dyDescent="0.35">
      <c r="A23" s="73">
        <v>21</v>
      </c>
      <c r="B23" s="63" t="s">
        <v>65</v>
      </c>
      <c r="C23" s="63" t="s">
        <v>11</v>
      </c>
      <c r="D23" s="93"/>
      <c r="J23" s="61"/>
      <c r="K23" s="61"/>
      <c r="L23" s="61"/>
    </row>
    <row r="24" spans="1:12" x14ac:dyDescent="0.35">
      <c r="A24" s="73">
        <v>22</v>
      </c>
      <c r="B24" s="90" t="s">
        <v>70</v>
      </c>
      <c r="C24" s="90" t="s">
        <v>16</v>
      </c>
      <c r="D24" s="94"/>
      <c r="K24" s="61"/>
      <c r="L24" s="61"/>
    </row>
    <row r="26" spans="1:12" s="61" customFormat="1" x14ac:dyDescent="0.35">
      <c r="A26" s="95" t="s">
        <v>1171</v>
      </c>
      <c r="B26" s="95"/>
      <c r="C26" s="95"/>
      <c r="D26" s="95"/>
      <c r="E26" s="95"/>
      <c r="F26" s="95"/>
    </row>
    <row r="27" spans="1:12" x14ac:dyDescent="0.35">
      <c r="A27" s="73" t="s">
        <v>349</v>
      </c>
      <c r="B27" s="73" t="s">
        <v>27</v>
      </c>
      <c r="C27" s="73" t="s">
        <v>0</v>
      </c>
      <c r="D27" s="73" t="s">
        <v>85</v>
      </c>
      <c r="E27" s="73" t="s">
        <v>86</v>
      </c>
      <c r="F27" s="73" t="s">
        <v>28</v>
      </c>
    </row>
    <row r="28" spans="1:12" x14ac:dyDescent="0.35">
      <c r="A28" s="73">
        <v>1</v>
      </c>
      <c r="B28" s="63" t="s">
        <v>61</v>
      </c>
      <c r="C28" s="63" t="s">
        <v>11</v>
      </c>
      <c r="D28" s="63" t="s">
        <v>968</v>
      </c>
      <c r="E28" s="74" t="s">
        <v>943</v>
      </c>
      <c r="F28" s="63">
        <v>25</v>
      </c>
    </row>
    <row r="29" spans="1:12" x14ac:dyDescent="0.35">
      <c r="A29" s="73">
        <v>2</v>
      </c>
      <c r="B29" s="62" t="s">
        <v>63</v>
      </c>
      <c r="C29" s="62" t="s">
        <v>21</v>
      </c>
      <c r="D29" s="62" t="s">
        <v>969</v>
      </c>
      <c r="E29" s="76" t="s">
        <v>944</v>
      </c>
      <c r="F29" s="62">
        <v>18</v>
      </c>
    </row>
    <row r="30" spans="1:12" x14ac:dyDescent="0.35">
      <c r="A30" s="73">
        <v>3</v>
      </c>
      <c r="B30" s="64" t="s">
        <v>64</v>
      </c>
      <c r="C30" s="64" t="s">
        <v>12</v>
      </c>
      <c r="D30" s="64" t="s">
        <v>970</v>
      </c>
      <c r="E30" s="77" t="s">
        <v>945</v>
      </c>
      <c r="F30" s="64">
        <v>15</v>
      </c>
    </row>
    <row r="31" spans="1:12" x14ac:dyDescent="0.35">
      <c r="A31" s="73">
        <v>4</v>
      </c>
      <c r="B31" s="65" t="s">
        <v>62</v>
      </c>
      <c r="C31" s="65" t="s">
        <v>13</v>
      </c>
      <c r="D31" s="65" t="s">
        <v>971</v>
      </c>
      <c r="E31" s="75" t="s">
        <v>946</v>
      </c>
      <c r="F31" s="65">
        <v>12</v>
      </c>
    </row>
    <row r="32" spans="1:12" x14ac:dyDescent="0.35">
      <c r="A32" s="73">
        <v>5</v>
      </c>
      <c r="B32" s="67" t="s">
        <v>66</v>
      </c>
      <c r="C32" s="67" t="s">
        <v>15</v>
      </c>
      <c r="D32" s="67" t="s">
        <v>972</v>
      </c>
      <c r="E32" s="78" t="s">
        <v>947</v>
      </c>
      <c r="F32" s="67">
        <v>10</v>
      </c>
    </row>
    <row r="33" spans="1:6" x14ac:dyDescent="0.35">
      <c r="A33" s="73">
        <v>6</v>
      </c>
      <c r="B33" s="64" t="s">
        <v>71</v>
      </c>
      <c r="C33" s="64" t="s">
        <v>12</v>
      </c>
      <c r="D33" s="64" t="s">
        <v>973</v>
      </c>
      <c r="E33" s="77" t="s">
        <v>948</v>
      </c>
      <c r="F33" s="64">
        <v>8</v>
      </c>
    </row>
    <row r="34" spans="1:6" x14ac:dyDescent="0.35">
      <c r="A34" s="73">
        <v>7</v>
      </c>
      <c r="B34" s="66" t="s">
        <v>72</v>
      </c>
      <c r="C34" s="66" t="s">
        <v>14</v>
      </c>
      <c r="D34" s="66" t="s">
        <v>974</v>
      </c>
      <c r="E34" s="81" t="s">
        <v>949</v>
      </c>
      <c r="F34" s="66">
        <v>6</v>
      </c>
    </row>
    <row r="35" spans="1:6" x14ac:dyDescent="0.35">
      <c r="A35" s="73">
        <v>8</v>
      </c>
      <c r="B35" s="65" t="s">
        <v>68</v>
      </c>
      <c r="C35" s="65" t="s">
        <v>13</v>
      </c>
      <c r="D35" s="65" t="s">
        <v>976</v>
      </c>
      <c r="E35" s="75" t="s">
        <v>950</v>
      </c>
      <c r="F35" s="65">
        <v>4</v>
      </c>
    </row>
    <row r="36" spans="1:6" x14ac:dyDescent="0.35">
      <c r="A36" s="73">
        <v>9</v>
      </c>
      <c r="B36" s="72" t="s">
        <v>67</v>
      </c>
      <c r="C36" s="72" t="s">
        <v>18</v>
      </c>
      <c r="D36" s="72" t="s">
        <v>977</v>
      </c>
      <c r="E36" s="79" t="s">
        <v>951</v>
      </c>
      <c r="F36" s="72">
        <v>2</v>
      </c>
    </row>
    <row r="37" spans="1:6" x14ac:dyDescent="0.35">
      <c r="A37" s="73">
        <v>10</v>
      </c>
      <c r="B37" s="63" t="s">
        <v>65</v>
      </c>
      <c r="C37" s="63" t="s">
        <v>11</v>
      </c>
      <c r="D37" s="63" t="s">
        <v>978</v>
      </c>
      <c r="E37" s="74" t="s">
        <v>952</v>
      </c>
      <c r="F37" s="63">
        <v>1</v>
      </c>
    </row>
    <row r="38" spans="1:6" x14ac:dyDescent="0.35">
      <c r="A38" s="73">
        <v>11</v>
      </c>
      <c r="B38" s="71" t="s">
        <v>76</v>
      </c>
      <c r="C38" s="71" t="s">
        <v>17</v>
      </c>
      <c r="D38" s="71" t="s">
        <v>979</v>
      </c>
      <c r="E38" s="83" t="s">
        <v>953</v>
      </c>
      <c r="F38" s="71">
        <v>0</v>
      </c>
    </row>
    <row r="39" spans="1:6" x14ac:dyDescent="0.35">
      <c r="A39" s="73">
        <v>12</v>
      </c>
      <c r="B39" s="69" t="s">
        <v>75</v>
      </c>
      <c r="C39" s="69" t="s">
        <v>20</v>
      </c>
      <c r="D39" s="69" t="s">
        <v>980</v>
      </c>
      <c r="E39" s="82" t="s">
        <v>954</v>
      </c>
      <c r="F39" s="69">
        <v>0</v>
      </c>
    </row>
    <row r="40" spans="1:6" x14ac:dyDescent="0.35">
      <c r="A40" s="73">
        <v>13</v>
      </c>
      <c r="B40" s="70" t="s">
        <v>70</v>
      </c>
      <c r="C40" s="70" t="s">
        <v>16</v>
      </c>
      <c r="D40" s="70" t="s">
        <v>981</v>
      </c>
      <c r="E40" s="80" t="s">
        <v>955</v>
      </c>
      <c r="F40" s="70">
        <v>0</v>
      </c>
    </row>
    <row r="41" spans="1:6" x14ac:dyDescent="0.35">
      <c r="A41" s="73">
        <v>14</v>
      </c>
      <c r="B41" s="70" t="s">
        <v>73</v>
      </c>
      <c r="C41" s="70" t="s">
        <v>16</v>
      </c>
      <c r="D41" s="70" t="s">
        <v>982</v>
      </c>
      <c r="E41" s="80" t="s">
        <v>956</v>
      </c>
      <c r="F41" s="70">
        <v>0</v>
      </c>
    </row>
    <row r="42" spans="1:6" x14ac:dyDescent="0.35">
      <c r="A42" s="73">
        <v>15</v>
      </c>
      <c r="B42" s="66" t="s">
        <v>78</v>
      </c>
      <c r="C42" s="66" t="s">
        <v>14</v>
      </c>
      <c r="D42" s="66" t="s">
        <v>975</v>
      </c>
      <c r="E42" s="81" t="s">
        <v>957</v>
      </c>
      <c r="F42" s="66">
        <v>0</v>
      </c>
    </row>
    <row r="43" spans="1:6" x14ac:dyDescent="0.35">
      <c r="A43" s="73">
        <v>16</v>
      </c>
      <c r="B43" s="72" t="s">
        <v>69</v>
      </c>
      <c r="C43" s="72" t="s">
        <v>18</v>
      </c>
      <c r="D43" s="72" t="s">
        <v>983</v>
      </c>
      <c r="E43" s="79" t="s">
        <v>958</v>
      </c>
      <c r="F43" s="72">
        <v>0</v>
      </c>
    </row>
    <row r="44" spans="1:6" x14ac:dyDescent="0.35">
      <c r="A44" s="73">
        <v>17</v>
      </c>
      <c r="B44" s="68" t="s">
        <v>80</v>
      </c>
      <c r="C44" s="68" t="s">
        <v>19</v>
      </c>
      <c r="D44" s="68" t="s">
        <v>967</v>
      </c>
      <c r="E44" s="84" t="s">
        <v>959</v>
      </c>
      <c r="F44" s="68">
        <v>0</v>
      </c>
    </row>
    <row r="45" spans="1:6" x14ac:dyDescent="0.35">
      <c r="A45" s="73">
        <v>18</v>
      </c>
      <c r="B45" s="62" t="s">
        <v>81</v>
      </c>
      <c r="C45" s="62" t="s">
        <v>21</v>
      </c>
      <c r="D45" s="62" t="s">
        <v>966</v>
      </c>
      <c r="E45" s="76" t="s">
        <v>936</v>
      </c>
      <c r="F45" s="62">
        <v>0</v>
      </c>
    </row>
    <row r="46" spans="1:6" x14ac:dyDescent="0.35">
      <c r="A46" s="73">
        <v>19</v>
      </c>
      <c r="B46" s="67" t="s">
        <v>74</v>
      </c>
      <c r="C46" s="67" t="s">
        <v>15</v>
      </c>
      <c r="D46" s="86" t="s">
        <v>962</v>
      </c>
      <c r="E46" s="78" t="s">
        <v>960</v>
      </c>
      <c r="F46" s="67">
        <v>0</v>
      </c>
    </row>
    <row r="47" spans="1:6" x14ac:dyDescent="0.35">
      <c r="A47" s="73">
        <v>20</v>
      </c>
      <c r="B47" s="68" t="s">
        <v>77</v>
      </c>
      <c r="C47" s="68" t="s">
        <v>19</v>
      </c>
      <c r="D47" s="68" t="s">
        <v>963</v>
      </c>
      <c r="E47" s="84" t="s">
        <v>961</v>
      </c>
      <c r="F47" s="68">
        <v>0</v>
      </c>
    </row>
    <row r="48" spans="1:6" x14ac:dyDescent="0.35">
      <c r="A48" s="73">
        <v>21</v>
      </c>
      <c r="B48" s="71" t="s">
        <v>125</v>
      </c>
      <c r="C48" s="71" t="s">
        <v>17</v>
      </c>
      <c r="D48" s="71" t="s">
        <v>964</v>
      </c>
      <c r="E48" s="83" t="s">
        <v>124</v>
      </c>
      <c r="F48" s="71" t="s">
        <v>82</v>
      </c>
    </row>
    <row r="49" spans="1:6" x14ac:dyDescent="0.35">
      <c r="A49" s="73">
        <v>22</v>
      </c>
      <c r="B49" s="69" t="s">
        <v>79</v>
      </c>
      <c r="C49" s="69" t="s">
        <v>20</v>
      </c>
      <c r="D49" s="69" t="s">
        <v>965</v>
      </c>
      <c r="E49" s="82" t="s">
        <v>124</v>
      </c>
      <c r="F49" s="69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73" t="s">
        <v>0</v>
      </c>
      <c r="C52" s="73" t="s">
        <v>28</v>
      </c>
    </row>
    <row r="53" spans="1:6" x14ac:dyDescent="0.35">
      <c r="A53" s="73">
        <v>1</v>
      </c>
      <c r="B53" s="63" t="s">
        <v>11</v>
      </c>
      <c r="C53" s="63">
        <f t="shared" ref="C53:C63" si="0">SUMIF($C$28:$C$49,B53,$F$28:$F$49)</f>
        <v>26</v>
      </c>
    </row>
    <row r="54" spans="1:6" x14ac:dyDescent="0.35">
      <c r="A54" s="73">
        <v>2</v>
      </c>
      <c r="B54" s="64" t="s">
        <v>12</v>
      </c>
      <c r="C54" s="64">
        <f t="shared" si="0"/>
        <v>23</v>
      </c>
    </row>
    <row r="55" spans="1:6" x14ac:dyDescent="0.35">
      <c r="A55" s="73">
        <v>3</v>
      </c>
      <c r="B55" s="62" t="s">
        <v>21</v>
      </c>
      <c r="C55" s="62">
        <f t="shared" si="0"/>
        <v>18</v>
      </c>
    </row>
    <row r="56" spans="1:6" x14ac:dyDescent="0.35">
      <c r="A56" s="73">
        <v>4</v>
      </c>
      <c r="B56" s="65" t="s">
        <v>13</v>
      </c>
      <c r="C56" s="65">
        <f t="shared" si="0"/>
        <v>16</v>
      </c>
    </row>
    <row r="57" spans="1:6" x14ac:dyDescent="0.35">
      <c r="A57" s="73">
        <v>5</v>
      </c>
      <c r="B57" s="67" t="s">
        <v>15</v>
      </c>
      <c r="C57" s="67">
        <f t="shared" si="0"/>
        <v>10</v>
      </c>
    </row>
    <row r="58" spans="1:6" x14ac:dyDescent="0.35">
      <c r="A58" s="73">
        <v>6</v>
      </c>
      <c r="B58" s="66" t="s">
        <v>14</v>
      </c>
      <c r="C58" s="66">
        <f t="shared" si="0"/>
        <v>6</v>
      </c>
    </row>
    <row r="59" spans="1:6" x14ac:dyDescent="0.35">
      <c r="A59" s="73">
        <v>7</v>
      </c>
      <c r="B59" s="72" t="s">
        <v>18</v>
      </c>
      <c r="C59" s="72">
        <f t="shared" si="0"/>
        <v>2</v>
      </c>
    </row>
    <row r="60" spans="1:6" x14ac:dyDescent="0.35">
      <c r="A60" s="73">
        <v>8</v>
      </c>
      <c r="B60" s="70" t="s">
        <v>16</v>
      </c>
      <c r="C60" s="70">
        <f t="shared" si="0"/>
        <v>0</v>
      </c>
    </row>
    <row r="61" spans="1:6" x14ac:dyDescent="0.35">
      <c r="A61" s="73">
        <v>9</v>
      </c>
      <c r="B61" s="69" t="s">
        <v>20</v>
      </c>
      <c r="C61" s="69">
        <f t="shared" si="0"/>
        <v>0</v>
      </c>
    </row>
    <row r="62" spans="1:6" x14ac:dyDescent="0.35">
      <c r="A62" s="73">
        <v>10</v>
      </c>
      <c r="B62" s="68" t="s">
        <v>19</v>
      </c>
      <c r="C62" s="68">
        <f t="shared" si="0"/>
        <v>0</v>
      </c>
    </row>
    <row r="63" spans="1:6" x14ac:dyDescent="0.35">
      <c r="A63" s="73">
        <v>11</v>
      </c>
      <c r="B63" s="71" t="s">
        <v>17</v>
      </c>
      <c r="C63" s="7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7955-1CA6-44A1-B729-295862864CA2}">
  <dimension ref="A1:L63"/>
  <sheetViews>
    <sheetView topLeftCell="A28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906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2.0898437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s="61" customFormat="1" x14ac:dyDescent="0.35">
      <c r="A1" s="96" t="s">
        <v>1170</v>
      </c>
      <c r="B1" s="96"/>
      <c r="C1" s="96"/>
    </row>
    <row r="2" spans="1:12" x14ac:dyDescent="0.35">
      <c r="A2" s="73" t="s">
        <v>349</v>
      </c>
      <c r="B2" s="73" t="s">
        <v>27</v>
      </c>
      <c r="C2" s="73" t="s">
        <v>0</v>
      </c>
      <c r="D2" s="60"/>
      <c r="J2" s="61"/>
    </row>
    <row r="3" spans="1:12" x14ac:dyDescent="0.35">
      <c r="A3" s="73">
        <v>1</v>
      </c>
      <c r="B3" s="63" t="s">
        <v>61</v>
      </c>
      <c r="C3" s="63" t="s">
        <v>11</v>
      </c>
      <c r="D3" s="93"/>
      <c r="J3" s="61"/>
    </row>
    <row r="4" spans="1:12" x14ac:dyDescent="0.35">
      <c r="A4" s="73">
        <v>2</v>
      </c>
      <c r="B4" s="72" t="s">
        <v>67</v>
      </c>
      <c r="C4" s="72" t="s">
        <v>18</v>
      </c>
      <c r="D4" s="93"/>
      <c r="J4" s="61"/>
    </row>
    <row r="5" spans="1:12" x14ac:dyDescent="0.35">
      <c r="A5" s="73">
        <v>3</v>
      </c>
      <c r="B5" s="53" t="s">
        <v>63</v>
      </c>
      <c r="C5" s="53" t="s">
        <v>21</v>
      </c>
      <c r="D5" s="94"/>
      <c r="J5" s="61"/>
    </row>
    <row r="6" spans="1:12" x14ac:dyDescent="0.35">
      <c r="A6" s="73">
        <v>4</v>
      </c>
      <c r="B6" s="65" t="s">
        <v>62</v>
      </c>
      <c r="C6" s="65" t="s">
        <v>13</v>
      </c>
      <c r="D6" s="94"/>
      <c r="J6" s="61"/>
    </row>
    <row r="7" spans="1:12" x14ac:dyDescent="0.35">
      <c r="A7" s="73">
        <v>5</v>
      </c>
      <c r="B7" s="63" t="s">
        <v>65</v>
      </c>
      <c r="C7" s="63" t="s">
        <v>11</v>
      </c>
      <c r="D7" s="61"/>
      <c r="J7" s="61"/>
    </row>
    <row r="8" spans="1:12" x14ac:dyDescent="0.35">
      <c r="A8" s="73">
        <v>6</v>
      </c>
      <c r="B8" s="64" t="s">
        <v>64</v>
      </c>
      <c r="C8" s="64" t="s">
        <v>12</v>
      </c>
      <c r="D8" s="93"/>
      <c r="J8" s="61"/>
    </row>
    <row r="9" spans="1:12" x14ac:dyDescent="0.35">
      <c r="A9" s="73">
        <v>7</v>
      </c>
      <c r="B9" s="64" t="s">
        <v>71</v>
      </c>
      <c r="C9" s="64" t="s">
        <v>12</v>
      </c>
      <c r="D9" s="61"/>
      <c r="J9" s="61"/>
    </row>
    <row r="10" spans="1:12" x14ac:dyDescent="0.35">
      <c r="A10" s="73">
        <v>8</v>
      </c>
      <c r="B10" s="67" t="s">
        <v>66</v>
      </c>
      <c r="C10" s="67" t="s">
        <v>15</v>
      </c>
      <c r="D10" s="93"/>
      <c r="J10" s="61"/>
    </row>
    <row r="11" spans="1:12" x14ac:dyDescent="0.35">
      <c r="A11" s="73">
        <v>9</v>
      </c>
      <c r="B11" s="65" t="s">
        <v>68</v>
      </c>
      <c r="C11" s="65" t="s">
        <v>13</v>
      </c>
      <c r="D11" s="94"/>
      <c r="J11" s="61"/>
    </row>
    <row r="12" spans="1:12" x14ac:dyDescent="0.35">
      <c r="A12" s="73">
        <v>10</v>
      </c>
      <c r="B12" s="66" t="s">
        <v>72</v>
      </c>
      <c r="C12" s="66" t="s">
        <v>14</v>
      </c>
      <c r="D12" s="94"/>
      <c r="J12" s="61"/>
    </row>
    <row r="13" spans="1:12" x14ac:dyDescent="0.35">
      <c r="A13" s="73">
        <v>11</v>
      </c>
      <c r="B13" s="62" t="s">
        <v>81</v>
      </c>
      <c r="C13" s="62" t="s">
        <v>21</v>
      </c>
      <c r="D13" s="94"/>
      <c r="J13" s="61"/>
    </row>
    <row r="14" spans="1:12" x14ac:dyDescent="0.35">
      <c r="A14" s="73">
        <v>12</v>
      </c>
      <c r="B14" s="90" t="s">
        <v>70</v>
      </c>
      <c r="C14" s="90" t="s">
        <v>16</v>
      </c>
      <c r="D14" s="94"/>
      <c r="J14" s="61"/>
      <c r="K14" s="61"/>
      <c r="L14" s="61"/>
    </row>
    <row r="15" spans="1:12" x14ac:dyDescent="0.35">
      <c r="A15" s="73">
        <v>13</v>
      </c>
      <c r="B15" s="88" t="s">
        <v>69</v>
      </c>
      <c r="C15" s="88" t="s">
        <v>18</v>
      </c>
      <c r="D15" s="94"/>
      <c r="J15" s="61"/>
      <c r="K15" s="61"/>
      <c r="L15" s="61"/>
    </row>
    <row r="16" spans="1:12" x14ac:dyDescent="0.35">
      <c r="A16" s="73">
        <v>14</v>
      </c>
      <c r="B16" s="70" t="s">
        <v>73</v>
      </c>
      <c r="C16" s="70" t="s">
        <v>16</v>
      </c>
      <c r="D16" s="93"/>
      <c r="J16" s="61"/>
      <c r="K16" s="61"/>
      <c r="L16" s="61"/>
    </row>
    <row r="17" spans="1:12" x14ac:dyDescent="0.35">
      <c r="A17" s="73">
        <v>15</v>
      </c>
      <c r="B17" s="89" t="s">
        <v>75</v>
      </c>
      <c r="C17" s="89" t="s">
        <v>20</v>
      </c>
      <c r="D17" s="94"/>
      <c r="J17" s="61"/>
      <c r="K17" s="61"/>
      <c r="L17" s="61"/>
    </row>
    <row r="18" spans="1:12" x14ac:dyDescent="0.35">
      <c r="A18" s="73">
        <v>16</v>
      </c>
      <c r="B18" s="68" t="s">
        <v>80</v>
      </c>
      <c r="C18" s="68" t="s">
        <v>19</v>
      </c>
      <c r="D18" s="93"/>
      <c r="J18" s="61"/>
      <c r="K18" s="61"/>
      <c r="L18" s="61"/>
    </row>
    <row r="19" spans="1:12" x14ac:dyDescent="0.35">
      <c r="A19" s="73">
        <v>17</v>
      </c>
      <c r="B19" s="59" t="s">
        <v>77</v>
      </c>
      <c r="C19" s="59" t="s">
        <v>19</v>
      </c>
      <c r="D19" s="61"/>
      <c r="J19" s="61"/>
      <c r="K19" s="61"/>
      <c r="L19" s="61"/>
    </row>
    <row r="20" spans="1:12" x14ac:dyDescent="0.35">
      <c r="A20" s="73">
        <v>18</v>
      </c>
      <c r="B20" s="71" t="s">
        <v>125</v>
      </c>
      <c r="C20" s="71" t="s">
        <v>17</v>
      </c>
      <c r="D20" s="94"/>
      <c r="J20" s="61"/>
      <c r="K20" s="61"/>
      <c r="L20" s="61"/>
    </row>
    <row r="21" spans="1:12" x14ac:dyDescent="0.35">
      <c r="A21" s="73">
        <v>19</v>
      </c>
      <c r="B21" s="71" t="s">
        <v>76</v>
      </c>
      <c r="C21" s="71" t="s">
        <v>17</v>
      </c>
      <c r="D21" s="94"/>
      <c r="J21" s="61"/>
      <c r="K21" s="61"/>
      <c r="L21" s="61"/>
    </row>
    <row r="22" spans="1:12" x14ac:dyDescent="0.35">
      <c r="A22" s="73">
        <v>20</v>
      </c>
      <c r="B22" s="66" t="s">
        <v>78</v>
      </c>
      <c r="C22" s="66" t="s">
        <v>14</v>
      </c>
      <c r="D22" s="94"/>
      <c r="J22" s="61"/>
      <c r="K22" s="61"/>
      <c r="L22" s="61"/>
    </row>
    <row r="23" spans="1:12" x14ac:dyDescent="0.35">
      <c r="A23" s="73">
        <v>21</v>
      </c>
      <c r="B23" s="89" t="s">
        <v>79</v>
      </c>
      <c r="C23" s="89" t="s">
        <v>20</v>
      </c>
      <c r="D23" s="93"/>
      <c r="J23" s="61"/>
      <c r="K23" s="61"/>
      <c r="L23" s="61"/>
    </row>
    <row r="24" spans="1:12" x14ac:dyDescent="0.35">
      <c r="A24" s="73">
        <v>22</v>
      </c>
      <c r="B24" s="67" t="s">
        <v>74</v>
      </c>
      <c r="C24" s="67" t="s">
        <v>15</v>
      </c>
      <c r="D24" s="94"/>
      <c r="J24" s="61"/>
      <c r="K24" s="61"/>
      <c r="L24" s="61"/>
    </row>
    <row r="25" spans="1:12" x14ac:dyDescent="0.35">
      <c r="D25" s="61"/>
      <c r="J25" s="61"/>
      <c r="K25" s="61"/>
      <c r="L25" s="61"/>
    </row>
    <row r="26" spans="1:12" s="61" customFormat="1" x14ac:dyDescent="0.35">
      <c r="A26" s="95" t="s">
        <v>1171</v>
      </c>
      <c r="B26" s="95"/>
      <c r="C26" s="95"/>
      <c r="D26" s="95"/>
      <c r="E26" s="95"/>
      <c r="F26" s="95"/>
    </row>
    <row r="27" spans="1:12" x14ac:dyDescent="0.35">
      <c r="A27" s="73" t="s">
        <v>349</v>
      </c>
      <c r="B27" s="73" t="s">
        <v>27</v>
      </c>
      <c r="C27" s="73" t="s">
        <v>0</v>
      </c>
      <c r="D27" s="73" t="s">
        <v>85</v>
      </c>
      <c r="E27" s="73" t="s">
        <v>86</v>
      </c>
      <c r="F27" s="73" t="s">
        <v>28</v>
      </c>
    </row>
    <row r="28" spans="1:12" x14ac:dyDescent="0.35">
      <c r="A28" s="73">
        <v>1</v>
      </c>
      <c r="B28" s="62" t="s">
        <v>63</v>
      </c>
      <c r="C28" s="62" t="s">
        <v>21</v>
      </c>
      <c r="D28" s="62" t="s">
        <v>998</v>
      </c>
      <c r="E28" s="76" t="s">
        <v>984</v>
      </c>
      <c r="F28" s="62">
        <v>25</v>
      </c>
    </row>
    <row r="29" spans="1:12" x14ac:dyDescent="0.35">
      <c r="A29" s="73">
        <v>2</v>
      </c>
      <c r="B29" s="63" t="s">
        <v>61</v>
      </c>
      <c r="C29" s="63" t="s">
        <v>11</v>
      </c>
      <c r="D29" s="63" t="s">
        <v>999</v>
      </c>
      <c r="E29" s="74" t="s">
        <v>985</v>
      </c>
      <c r="F29" s="63">
        <v>18</v>
      </c>
    </row>
    <row r="30" spans="1:12" x14ac:dyDescent="0.35">
      <c r="A30" s="73">
        <v>3</v>
      </c>
      <c r="B30" s="63" t="s">
        <v>65</v>
      </c>
      <c r="C30" s="63" t="s">
        <v>11</v>
      </c>
      <c r="D30" s="63" t="s">
        <v>1000</v>
      </c>
      <c r="E30" s="74" t="s">
        <v>463</v>
      </c>
      <c r="F30" s="63">
        <v>15</v>
      </c>
    </row>
    <row r="31" spans="1:12" x14ac:dyDescent="0.35">
      <c r="A31" s="73">
        <v>4</v>
      </c>
      <c r="B31" s="72" t="s">
        <v>67</v>
      </c>
      <c r="C31" s="72" t="s">
        <v>18</v>
      </c>
      <c r="D31" s="72" t="s">
        <v>1001</v>
      </c>
      <c r="E31" s="79" t="s">
        <v>986</v>
      </c>
      <c r="F31" s="72">
        <v>12</v>
      </c>
    </row>
    <row r="32" spans="1:12" x14ac:dyDescent="0.35">
      <c r="A32" s="73">
        <v>5</v>
      </c>
      <c r="B32" s="64" t="s">
        <v>64</v>
      </c>
      <c r="C32" s="64" t="s">
        <v>12</v>
      </c>
      <c r="D32" s="64" t="s">
        <v>806</v>
      </c>
      <c r="E32" s="77" t="s">
        <v>987</v>
      </c>
      <c r="F32" s="64">
        <v>10</v>
      </c>
    </row>
    <row r="33" spans="1:6" x14ac:dyDescent="0.35">
      <c r="A33" s="73">
        <v>6</v>
      </c>
      <c r="B33" s="66" t="s">
        <v>72</v>
      </c>
      <c r="C33" s="66" t="s">
        <v>14</v>
      </c>
      <c r="D33" s="87" t="s">
        <v>1002</v>
      </c>
      <c r="E33" s="81" t="s">
        <v>988</v>
      </c>
      <c r="F33" s="66">
        <v>9</v>
      </c>
    </row>
    <row r="34" spans="1:6" x14ac:dyDescent="0.35">
      <c r="A34" s="73">
        <v>7</v>
      </c>
      <c r="B34" s="72" t="s">
        <v>69</v>
      </c>
      <c r="C34" s="72" t="s">
        <v>18</v>
      </c>
      <c r="D34" s="72" t="s">
        <v>1003</v>
      </c>
      <c r="E34" s="79" t="s">
        <v>989</v>
      </c>
      <c r="F34" s="72">
        <v>6</v>
      </c>
    </row>
    <row r="35" spans="1:6" x14ac:dyDescent="0.35">
      <c r="A35" s="73">
        <v>8</v>
      </c>
      <c r="B35" s="64" t="s">
        <v>71</v>
      </c>
      <c r="C35" s="64" t="s">
        <v>12</v>
      </c>
      <c r="D35" s="64" t="s">
        <v>1004</v>
      </c>
      <c r="E35" s="77" t="s">
        <v>990</v>
      </c>
      <c r="F35" s="64">
        <v>4</v>
      </c>
    </row>
    <row r="36" spans="1:6" x14ac:dyDescent="0.35">
      <c r="A36" s="73">
        <v>9</v>
      </c>
      <c r="B36" s="69" t="s">
        <v>75</v>
      </c>
      <c r="C36" s="69" t="s">
        <v>20</v>
      </c>
      <c r="D36" s="69" t="s">
        <v>1005</v>
      </c>
      <c r="E36" s="82" t="s">
        <v>991</v>
      </c>
      <c r="F36" s="69">
        <v>2</v>
      </c>
    </row>
    <row r="37" spans="1:6" x14ac:dyDescent="0.35">
      <c r="A37" s="73">
        <v>10</v>
      </c>
      <c r="B37" s="65" t="s">
        <v>68</v>
      </c>
      <c r="C37" s="65" t="s">
        <v>13</v>
      </c>
      <c r="D37" s="65" t="s">
        <v>1006</v>
      </c>
      <c r="E37" s="75" t="s">
        <v>992</v>
      </c>
      <c r="F37" s="65">
        <v>1</v>
      </c>
    </row>
    <row r="38" spans="1:6" x14ac:dyDescent="0.35">
      <c r="A38" s="73">
        <v>11</v>
      </c>
      <c r="B38" s="67" t="s">
        <v>74</v>
      </c>
      <c r="C38" s="67" t="s">
        <v>15</v>
      </c>
      <c r="D38" s="67" t="s">
        <v>1007</v>
      </c>
      <c r="E38" s="78" t="s">
        <v>993</v>
      </c>
      <c r="F38" s="67">
        <v>0</v>
      </c>
    </row>
    <row r="39" spans="1:6" x14ac:dyDescent="0.35">
      <c r="A39" s="73">
        <v>12</v>
      </c>
      <c r="B39" s="67" t="s">
        <v>66</v>
      </c>
      <c r="C39" s="67" t="s">
        <v>15</v>
      </c>
      <c r="D39" s="67" t="s">
        <v>1008</v>
      </c>
      <c r="E39" s="78" t="s">
        <v>994</v>
      </c>
      <c r="F39" s="67">
        <v>0</v>
      </c>
    </row>
    <row r="40" spans="1:6" x14ac:dyDescent="0.35">
      <c r="A40" s="73">
        <v>13</v>
      </c>
      <c r="B40" s="68" t="s">
        <v>80</v>
      </c>
      <c r="C40" s="68" t="s">
        <v>19</v>
      </c>
      <c r="D40" s="68" t="s">
        <v>1009</v>
      </c>
      <c r="E40" s="84" t="s">
        <v>995</v>
      </c>
      <c r="F40" s="68">
        <v>0</v>
      </c>
    </row>
    <row r="41" spans="1:6" x14ac:dyDescent="0.35">
      <c r="A41" s="73">
        <v>14</v>
      </c>
      <c r="B41" s="65" t="s">
        <v>62</v>
      </c>
      <c r="C41" s="65" t="s">
        <v>13</v>
      </c>
      <c r="D41" s="65" t="s">
        <v>1010</v>
      </c>
      <c r="E41" s="75" t="s">
        <v>996</v>
      </c>
      <c r="F41" s="65">
        <v>0</v>
      </c>
    </row>
    <row r="42" spans="1:6" x14ac:dyDescent="0.35">
      <c r="A42" s="73">
        <v>15</v>
      </c>
      <c r="B42" s="70" t="s">
        <v>70</v>
      </c>
      <c r="C42" s="70" t="s">
        <v>16</v>
      </c>
      <c r="D42" s="70" t="s">
        <v>1011</v>
      </c>
      <c r="E42" s="80" t="s">
        <v>997</v>
      </c>
      <c r="F42" s="70">
        <v>0</v>
      </c>
    </row>
    <row r="43" spans="1:6" x14ac:dyDescent="0.35">
      <c r="A43" s="73">
        <v>16</v>
      </c>
      <c r="B43" s="68" t="s">
        <v>77</v>
      </c>
      <c r="C43" s="68" t="s">
        <v>19</v>
      </c>
      <c r="D43" s="68" t="s">
        <v>1012</v>
      </c>
      <c r="E43" s="84" t="s">
        <v>122</v>
      </c>
      <c r="F43" s="68">
        <v>0</v>
      </c>
    </row>
    <row r="44" spans="1:6" x14ac:dyDescent="0.35">
      <c r="A44" s="73">
        <v>17</v>
      </c>
      <c r="B44" s="62" t="s">
        <v>81</v>
      </c>
      <c r="C44" s="62" t="s">
        <v>21</v>
      </c>
      <c r="D44" s="62" t="s">
        <v>1013</v>
      </c>
      <c r="E44" s="76" t="s">
        <v>124</v>
      </c>
      <c r="F44" s="62" t="s">
        <v>82</v>
      </c>
    </row>
    <row r="45" spans="1:6" x14ac:dyDescent="0.35">
      <c r="A45" s="73">
        <v>18</v>
      </c>
      <c r="B45" s="70" t="s">
        <v>73</v>
      </c>
      <c r="C45" s="70" t="s">
        <v>16</v>
      </c>
      <c r="D45" s="70" t="s">
        <v>60</v>
      </c>
      <c r="E45" s="80" t="s">
        <v>124</v>
      </c>
      <c r="F45" s="70" t="s">
        <v>82</v>
      </c>
    </row>
    <row r="46" spans="1:6" x14ac:dyDescent="0.35">
      <c r="A46" s="73">
        <v>19</v>
      </c>
      <c r="B46" s="71" t="s">
        <v>125</v>
      </c>
      <c r="C46" s="71" t="s">
        <v>17</v>
      </c>
      <c r="D46" s="71" t="s">
        <v>60</v>
      </c>
      <c r="E46" s="83" t="s">
        <v>124</v>
      </c>
      <c r="F46" s="71" t="s">
        <v>82</v>
      </c>
    </row>
    <row r="47" spans="1:6" x14ac:dyDescent="0.35">
      <c r="A47" s="73">
        <v>20</v>
      </c>
      <c r="B47" s="71" t="s">
        <v>76</v>
      </c>
      <c r="C47" s="71" t="s">
        <v>17</v>
      </c>
      <c r="D47" s="71" t="s">
        <v>60</v>
      </c>
      <c r="E47" s="83" t="s">
        <v>124</v>
      </c>
      <c r="F47" s="71" t="s">
        <v>82</v>
      </c>
    </row>
    <row r="48" spans="1:6" x14ac:dyDescent="0.35">
      <c r="A48" s="73">
        <v>21</v>
      </c>
      <c r="B48" s="66" t="s">
        <v>78</v>
      </c>
      <c r="C48" s="66" t="s">
        <v>14</v>
      </c>
      <c r="D48" s="66" t="s">
        <v>60</v>
      </c>
      <c r="E48" s="81" t="s">
        <v>124</v>
      </c>
      <c r="F48" s="66" t="s">
        <v>82</v>
      </c>
    </row>
    <row r="49" spans="1:6" x14ac:dyDescent="0.35">
      <c r="A49" s="73">
        <v>22</v>
      </c>
      <c r="B49" s="69" t="s">
        <v>79</v>
      </c>
      <c r="C49" s="69" t="s">
        <v>20</v>
      </c>
      <c r="D49" s="69" t="s">
        <v>60</v>
      </c>
      <c r="E49" s="82" t="s">
        <v>124</v>
      </c>
      <c r="F49" s="69" t="s">
        <v>82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73" t="s">
        <v>0</v>
      </c>
      <c r="C52" s="73" t="s">
        <v>28</v>
      </c>
    </row>
    <row r="53" spans="1:6" x14ac:dyDescent="0.35">
      <c r="A53" s="73">
        <v>1</v>
      </c>
      <c r="B53" s="63" t="s">
        <v>11</v>
      </c>
      <c r="C53" s="63">
        <f t="shared" ref="C53:C63" si="0">SUMIF($C$28:$C$46,B53,$F$28:$F$46)</f>
        <v>33</v>
      </c>
    </row>
    <row r="54" spans="1:6" x14ac:dyDescent="0.35">
      <c r="A54" s="73">
        <v>2</v>
      </c>
      <c r="B54" s="62" t="s">
        <v>21</v>
      </c>
      <c r="C54" s="62">
        <f t="shared" si="0"/>
        <v>25</v>
      </c>
    </row>
    <row r="55" spans="1:6" x14ac:dyDescent="0.35">
      <c r="A55" s="73">
        <v>3</v>
      </c>
      <c r="B55" s="72" t="s">
        <v>18</v>
      </c>
      <c r="C55" s="72">
        <f t="shared" si="0"/>
        <v>18</v>
      </c>
    </row>
    <row r="56" spans="1:6" x14ac:dyDescent="0.35">
      <c r="A56" s="73">
        <v>4</v>
      </c>
      <c r="B56" s="64" t="s">
        <v>12</v>
      </c>
      <c r="C56" s="64">
        <f t="shared" si="0"/>
        <v>14</v>
      </c>
    </row>
    <row r="57" spans="1:6" x14ac:dyDescent="0.35">
      <c r="A57" s="73">
        <v>5</v>
      </c>
      <c r="B57" s="66" t="s">
        <v>14</v>
      </c>
      <c r="C57" s="66">
        <f t="shared" si="0"/>
        <v>9</v>
      </c>
    </row>
    <row r="58" spans="1:6" x14ac:dyDescent="0.35">
      <c r="A58" s="73">
        <v>6</v>
      </c>
      <c r="B58" s="69" t="s">
        <v>20</v>
      </c>
      <c r="C58" s="69">
        <f t="shared" si="0"/>
        <v>2</v>
      </c>
    </row>
    <row r="59" spans="1:6" x14ac:dyDescent="0.35">
      <c r="A59" s="73">
        <v>7</v>
      </c>
      <c r="B59" s="65" t="s">
        <v>13</v>
      </c>
      <c r="C59" s="65">
        <f t="shared" si="0"/>
        <v>1</v>
      </c>
    </row>
    <row r="60" spans="1:6" x14ac:dyDescent="0.35">
      <c r="A60" s="73">
        <v>8</v>
      </c>
      <c r="B60" s="67" t="s">
        <v>15</v>
      </c>
      <c r="C60" s="67">
        <f t="shared" si="0"/>
        <v>0</v>
      </c>
    </row>
    <row r="61" spans="1:6" x14ac:dyDescent="0.35">
      <c r="A61" s="73">
        <v>9</v>
      </c>
      <c r="B61" s="70" t="s">
        <v>16</v>
      </c>
      <c r="C61" s="70">
        <f t="shared" si="0"/>
        <v>0</v>
      </c>
    </row>
    <row r="62" spans="1:6" x14ac:dyDescent="0.35">
      <c r="A62" s="73">
        <v>10</v>
      </c>
      <c r="B62" s="68" t="s">
        <v>19</v>
      </c>
      <c r="C62" s="68">
        <f t="shared" si="0"/>
        <v>0</v>
      </c>
    </row>
    <row r="63" spans="1:6" x14ac:dyDescent="0.35">
      <c r="A63" s="73">
        <v>11</v>
      </c>
      <c r="B63" s="71" t="s">
        <v>17</v>
      </c>
      <c r="C63" s="7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2AA7-F52B-4BA9-A16E-49B4DB126344}">
  <dimension ref="A1:L63"/>
  <sheetViews>
    <sheetView topLeftCell="A25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s="61" customFormat="1" x14ac:dyDescent="0.35">
      <c r="A1" s="96" t="s">
        <v>1170</v>
      </c>
      <c r="B1" s="96"/>
      <c r="C1" s="96"/>
    </row>
    <row r="2" spans="1:12" x14ac:dyDescent="0.35">
      <c r="A2" s="73" t="s">
        <v>349</v>
      </c>
      <c r="B2" s="73" t="s">
        <v>27</v>
      </c>
      <c r="C2" s="73" t="s">
        <v>0</v>
      </c>
      <c r="D2" s="39"/>
      <c r="J2" s="61"/>
    </row>
    <row r="3" spans="1:12" x14ac:dyDescent="0.35">
      <c r="A3" s="73">
        <v>1</v>
      </c>
      <c r="B3" s="85" t="s">
        <v>63</v>
      </c>
      <c r="C3" s="85" t="s">
        <v>21</v>
      </c>
      <c r="D3" s="40"/>
      <c r="J3" s="61"/>
    </row>
    <row r="4" spans="1:12" x14ac:dyDescent="0.35">
      <c r="A4" s="73">
        <v>2</v>
      </c>
      <c r="B4" s="63" t="s">
        <v>61</v>
      </c>
      <c r="C4" s="63" t="s">
        <v>11</v>
      </c>
      <c r="D4" s="40"/>
      <c r="J4" s="61"/>
    </row>
    <row r="5" spans="1:12" x14ac:dyDescent="0.35">
      <c r="A5" s="73">
        <v>3</v>
      </c>
      <c r="B5" s="64" t="s">
        <v>64</v>
      </c>
      <c r="C5" s="64" t="s">
        <v>12</v>
      </c>
      <c r="D5" s="41"/>
      <c r="J5" s="61"/>
    </row>
    <row r="6" spans="1:12" x14ac:dyDescent="0.35">
      <c r="A6" s="73">
        <v>4</v>
      </c>
      <c r="B6" s="63" t="s">
        <v>65</v>
      </c>
      <c r="C6" s="63" t="s">
        <v>11</v>
      </c>
      <c r="D6" s="41"/>
      <c r="J6" s="61"/>
    </row>
    <row r="7" spans="1:12" x14ac:dyDescent="0.35">
      <c r="A7" s="73">
        <v>5</v>
      </c>
      <c r="B7" s="91" t="s">
        <v>67</v>
      </c>
      <c r="C7" s="91" t="s">
        <v>18</v>
      </c>
      <c r="D7" s="61"/>
      <c r="J7" s="61"/>
    </row>
    <row r="8" spans="1:12" x14ac:dyDescent="0.35">
      <c r="A8" s="73">
        <v>6</v>
      </c>
      <c r="B8" s="66" t="s">
        <v>72</v>
      </c>
      <c r="C8" s="66" t="s">
        <v>14</v>
      </c>
      <c r="D8" s="40"/>
      <c r="J8" s="61"/>
    </row>
    <row r="9" spans="1:12" x14ac:dyDescent="0.35">
      <c r="A9" s="73">
        <v>7</v>
      </c>
      <c r="B9" s="85" t="s">
        <v>81</v>
      </c>
      <c r="C9" s="85" t="s">
        <v>21</v>
      </c>
      <c r="D9" s="61"/>
      <c r="J9" s="61"/>
    </row>
    <row r="10" spans="1:12" x14ac:dyDescent="0.35">
      <c r="A10" s="73">
        <v>8</v>
      </c>
      <c r="B10" s="65" t="s">
        <v>68</v>
      </c>
      <c r="C10" s="65" t="s">
        <v>13</v>
      </c>
      <c r="D10" s="40"/>
      <c r="J10" s="61"/>
    </row>
    <row r="11" spans="1:12" x14ac:dyDescent="0.35">
      <c r="A11" s="73">
        <v>9</v>
      </c>
      <c r="B11" s="89" t="s">
        <v>75</v>
      </c>
      <c r="C11" s="89" t="s">
        <v>20</v>
      </c>
      <c r="D11" s="41"/>
      <c r="J11" s="61"/>
    </row>
    <row r="12" spans="1:12" x14ac:dyDescent="0.35">
      <c r="A12" s="73">
        <v>10</v>
      </c>
      <c r="B12" s="64" t="s">
        <v>71</v>
      </c>
      <c r="C12" s="64" t="s">
        <v>12</v>
      </c>
      <c r="D12" s="41"/>
      <c r="J12" s="61"/>
    </row>
    <row r="13" spans="1:12" x14ac:dyDescent="0.35">
      <c r="A13" s="73">
        <v>11</v>
      </c>
      <c r="B13" s="67" t="s">
        <v>66</v>
      </c>
      <c r="C13" s="67" t="s">
        <v>15</v>
      </c>
      <c r="D13" s="41"/>
      <c r="J13" s="61"/>
    </row>
    <row r="14" spans="1:12" x14ac:dyDescent="0.35">
      <c r="A14" s="73">
        <v>12</v>
      </c>
      <c r="B14" s="71" t="s">
        <v>76</v>
      </c>
      <c r="C14" s="71" t="s">
        <v>17</v>
      </c>
      <c r="D14" s="41"/>
      <c r="J14" s="61"/>
      <c r="K14" s="61"/>
      <c r="L14" s="61"/>
    </row>
    <row r="15" spans="1:12" x14ac:dyDescent="0.35">
      <c r="A15" s="73">
        <v>13</v>
      </c>
      <c r="B15" s="65" t="s">
        <v>62</v>
      </c>
      <c r="C15" s="65" t="s">
        <v>13</v>
      </c>
      <c r="D15" s="41"/>
      <c r="J15" s="61"/>
      <c r="K15" s="61"/>
      <c r="L15" s="61"/>
    </row>
    <row r="16" spans="1:12" x14ac:dyDescent="0.35">
      <c r="A16" s="73">
        <v>14</v>
      </c>
      <c r="B16" s="90" t="s">
        <v>70</v>
      </c>
      <c r="C16" s="90" t="s">
        <v>16</v>
      </c>
      <c r="D16" s="40"/>
      <c r="J16" s="61"/>
      <c r="K16" s="61"/>
      <c r="L16" s="61"/>
    </row>
    <row r="17" spans="1:12" x14ac:dyDescent="0.35">
      <c r="A17" s="73">
        <v>15</v>
      </c>
      <c r="B17" s="88" t="s">
        <v>69</v>
      </c>
      <c r="C17" s="88" t="s">
        <v>18</v>
      </c>
      <c r="D17" s="41"/>
      <c r="J17" s="61"/>
      <c r="K17" s="61"/>
      <c r="L17" s="61"/>
    </row>
    <row r="18" spans="1:12" x14ac:dyDescent="0.35">
      <c r="A18" s="73">
        <v>16</v>
      </c>
      <c r="B18" s="68" t="s">
        <v>80</v>
      </c>
      <c r="C18" s="68" t="s">
        <v>19</v>
      </c>
      <c r="D18" s="40"/>
      <c r="J18" s="61"/>
      <c r="K18" s="61"/>
      <c r="L18" s="61"/>
    </row>
    <row r="19" spans="1:12" x14ac:dyDescent="0.35">
      <c r="A19" s="73">
        <v>17</v>
      </c>
      <c r="B19" s="69" t="s">
        <v>79</v>
      </c>
      <c r="C19" s="69" t="s">
        <v>20</v>
      </c>
      <c r="D19" s="61"/>
      <c r="J19" s="61"/>
      <c r="K19" s="61"/>
      <c r="L19" s="61"/>
    </row>
    <row r="20" spans="1:12" x14ac:dyDescent="0.35">
      <c r="A20" s="73">
        <v>18</v>
      </c>
      <c r="B20" s="68" t="s">
        <v>77</v>
      </c>
      <c r="C20" s="68" t="s">
        <v>19</v>
      </c>
      <c r="D20" s="41"/>
      <c r="J20" s="61"/>
      <c r="K20" s="61"/>
      <c r="L20" s="61"/>
    </row>
    <row r="21" spans="1:12" x14ac:dyDescent="0.35">
      <c r="A21" s="73">
        <v>19</v>
      </c>
      <c r="B21" s="70" t="s">
        <v>73</v>
      </c>
      <c r="C21" s="70" t="s">
        <v>16</v>
      </c>
      <c r="D21" s="41"/>
      <c r="J21" s="61"/>
      <c r="K21" s="61"/>
      <c r="L21" s="61"/>
    </row>
    <row r="22" spans="1:12" x14ac:dyDescent="0.35">
      <c r="A22" s="73">
        <v>20</v>
      </c>
      <c r="B22" s="67" t="s">
        <v>74</v>
      </c>
      <c r="C22" s="67" t="s">
        <v>15</v>
      </c>
      <c r="D22" s="41"/>
      <c r="J22" s="61"/>
      <c r="K22" s="61"/>
      <c r="L22" s="61"/>
    </row>
    <row r="23" spans="1:12" x14ac:dyDescent="0.35">
      <c r="A23" s="73">
        <v>21</v>
      </c>
      <c r="B23" s="71" t="s">
        <v>125</v>
      </c>
      <c r="C23" s="71" t="s">
        <v>17</v>
      </c>
      <c r="D23" s="40"/>
      <c r="J23" s="61"/>
      <c r="K23" s="61"/>
      <c r="L23" s="61"/>
    </row>
    <row r="24" spans="1:12" x14ac:dyDescent="0.35">
      <c r="A24" s="73">
        <v>22</v>
      </c>
      <c r="B24" s="92" t="s">
        <v>78</v>
      </c>
      <c r="C24" s="92" t="s">
        <v>14</v>
      </c>
      <c r="D24" s="41"/>
      <c r="J24" s="61"/>
      <c r="K24" s="61"/>
      <c r="L24" s="61"/>
    </row>
    <row r="26" spans="1:12" s="61" customFormat="1" x14ac:dyDescent="0.35">
      <c r="A26" s="95" t="s">
        <v>1171</v>
      </c>
      <c r="B26" s="95"/>
      <c r="C26" s="95"/>
      <c r="D26" s="95"/>
      <c r="E26" s="95"/>
      <c r="F26" s="95"/>
    </row>
    <row r="27" spans="1:12" x14ac:dyDescent="0.35">
      <c r="A27" s="73" t="s">
        <v>349</v>
      </c>
      <c r="B27" s="73" t="s">
        <v>27</v>
      </c>
      <c r="C27" s="73" t="s">
        <v>0</v>
      </c>
      <c r="D27" s="73" t="s">
        <v>85</v>
      </c>
      <c r="E27" s="73" t="s">
        <v>86</v>
      </c>
      <c r="F27" s="73" t="s">
        <v>28</v>
      </c>
    </row>
    <row r="28" spans="1:12" x14ac:dyDescent="0.35">
      <c r="A28" s="73">
        <v>1</v>
      </c>
      <c r="B28" s="85" t="s">
        <v>63</v>
      </c>
      <c r="C28" s="85" t="s">
        <v>21</v>
      </c>
      <c r="D28" s="103" t="s">
        <v>1126</v>
      </c>
      <c r="E28" s="52" t="s">
        <v>1127</v>
      </c>
      <c r="F28" s="85">
        <v>8</v>
      </c>
    </row>
    <row r="29" spans="1:12" x14ac:dyDescent="0.35">
      <c r="A29" s="73">
        <v>2</v>
      </c>
      <c r="B29" s="63" t="s">
        <v>61</v>
      </c>
      <c r="C29" s="63" t="s">
        <v>11</v>
      </c>
      <c r="D29" s="63" t="s">
        <v>1149</v>
      </c>
      <c r="E29" s="74" t="s">
        <v>1128</v>
      </c>
      <c r="F29" s="63">
        <v>7</v>
      </c>
    </row>
    <row r="30" spans="1:12" x14ac:dyDescent="0.35">
      <c r="A30" s="73">
        <v>3</v>
      </c>
      <c r="B30" s="63" t="s">
        <v>65</v>
      </c>
      <c r="C30" s="63" t="s">
        <v>11</v>
      </c>
      <c r="D30" s="63" t="s">
        <v>1150</v>
      </c>
      <c r="E30" s="74" t="s">
        <v>1129</v>
      </c>
      <c r="F30" s="63">
        <v>6</v>
      </c>
    </row>
    <row r="31" spans="1:12" x14ac:dyDescent="0.35">
      <c r="A31" s="73">
        <v>4</v>
      </c>
      <c r="B31" s="64" t="s">
        <v>64</v>
      </c>
      <c r="C31" s="64" t="s">
        <v>12</v>
      </c>
      <c r="D31" s="64" t="s">
        <v>1151</v>
      </c>
      <c r="E31" s="77" t="s">
        <v>1130</v>
      </c>
      <c r="F31" s="64">
        <v>5</v>
      </c>
    </row>
    <row r="32" spans="1:12" x14ac:dyDescent="0.35">
      <c r="A32" s="73">
        <v>5</v>
      </c>
      <c r="B32" s="66" t="s">
        <v>72</v>
      </c>
      <c r="C32" s="66" t="s">
        <v>14</v>
      </c>
      <c r="D32" s="66" t="s">
        <v>1152</v>
      </c>
      <c r="E32" s="81" t="s">
        <v>1131</v>
      </c>
      <c r="F32" s="66">
        <v>4</v>
      </c>
    </row>
    <row r="33" spans="1:6" x14ac:dyDescent="0.35">
      <c r="A33" s="73">
        <v>6</v>
      </c>
      <c r="B33" s="85" t="s">
        <v>81</v>
      </c>
      <c r="C33" s="85" t="s">
        <v>21</v>
      </c>
      <c r="D33" s="85" t="s">
        <v>1153</v>
      </c>
      <c r="E33" s="52" t="s">
        <v>1132</v>
      </c>
      <c r="F33" s="85">
        <v>3</v>
      </c>
    </row>
    <row r="34" spans="1:6" x14ac:dyDescent="0.35">
      <c r="A34" s="73">
        <v>7</v>
      </c>
      <c r="B34" s="91" t="s">
        <v>67</v>
      </c>
      <c r="C34" s="91" t="s">
        <v>18</v>
      </c>
      <c r="D34" s="91" t="s">
        <v>1154</v>
      </c>
      <c r="E34" s="98" t="s">
        <v>1133</v>
      </c>
      <c r="F34" s="91">
        <v>2</v>
      </c>
    </row>
    <row r="35" spans="1:6" x14ac:dyDescent="0.35">
      <c r="A35" s="73">
        <v>8</v>
      </c>
      <c r="B35" s="65" t="s">
        <v>68</v>
      </c>
      <c r="C35" s="65" t="s">
        <v>13</v>
      </c>
      <c r="D35" s="65" t="s">
        <v>1155</v>
      </c>
      <c r="E35" s="75" t="s">
        <v>1134</v>
      </c>
      <c r="F35" s="65">
        <v>1</v>
      </c>
    </row>
    <row r="36" spans="1:6" x14ac:dyDescent="0.35">
      <c r="A36" s="73">
        <v>9</v>
      </c>
      <c r="B36" s="64" t="s">
        <v>71</v>
      </c>
      <c r="C36" s="64" t="s">
        <v>12</v>
      </c>
      <c r="D36" s="64" t="s">
        <v>1156</v>
      </c>
      <c r="E36" s="77" t="s">
        <v>1135</v>
      </c>
      <c r="F36" s="64">
        <v>0</v>
      </c>
    </row>
    <row r="37" spans="1:6" x14ac:dyDescent="0.35">
      <c r="A37" s="73">
        <v>10</v>
      </c>
      <c r="B37" s="71" t="s">
        <v>76</v>
      </c>
      <c r="C37" s="71" t="s">
        <v>17</v>
      </c>
      <c r="D37" s="71" t="s">
        <v>1157</v>
      </c>
      <c r="E37" s="83" t="s">
        <v>1136</v>
      </c>
      <c r="F37" s="71">
        <v>0</v>
      </c>
    </row>
    <row r="38" spans="1:6" x14ac:dyDescent="0.35">
      <c r="A38" s="73">
        <v>11</v>
      </c>
      <c r="B38" s="67" t="s">
        <v>66</v>
      </c>
      <c r="C38" s="67" t="s">
        <v>15</v>
      </c>
      <c r="D38" s="67" t="s">
        <v>1158</v>
      </c>
      <c r="E38" s="78" t="s">
        <v>1137</v>
      </c>
      <c r="F38" s="67">
        <v>0</v>
      </c>
    </row>
    <row r="39" spans="1:6" x14ac:dyDescent="0.35">
      <c r="A39" s="73">
        <v>12</v>
      </c>
      <c r="B39" s="89" t="s">
        <v>75</v>
      </c>
      <c r="C39" s="89" t="s">
        <v>20</v>
      </c>
      <c r="D39" s="89" t="s">
        <v>1159</v>
      </c>
      <c r="E39" s="99" t="s">
        <v>1138</v>
      </c>
      <c r="F39" s="89">
        <v>0</v>
      </c>
    </row>
    <row r="40" spans="1:6" x14ac:dyDescent="0.35">
      <c r="A40" s="73">
        <v>13</v>
      </c>
      <c r="B40" s="65" t="s">
        <v>62</v>
      </c>
      <c r="C40" s="65" t="s">
        <v>13</v>
      </c>
      <c r="D40" s="65" t="s">
        <v>1160</v>
      </c>
      <c r="E40" s="75" t="s">
        <v>1139</v>
      </c>
      <c r="F40" s="65">
        <v>0</v>
      </c>
    </row>
    <row r="41" spans="1:6" x14ac:dyDescent="0.35">
      <c r="A41" s="73">
        <v>14</v>
      </c>
      <c r="B41" s="68" t="s">
        <v>80</v>
      </c>
      <c r="C41" s="68" t="s">
        <v>19</v>
      </c>
      <c r="D41" s="68" t="s">
        <v>1161</v>
      </c>
      <c r="E41" s="84" t="s">
        <v>1140</v>
      </c>
      <c r="F41" s="68">
        <v>0</v>
      </c>
    </row>
    <row r="42" spans="1:6" x14ac:dyDescent="0.35">
      <c r="A42" s="73">
        <v>15</v>
      </c>
      <c r="B42" s="67" t="s">
        <v>74</v>
      </c>
      <c r="C42" s="67" t="s">
        <v>15</v>
      </c>
      <c r="D42" s="67" t="s">
        <v>1162</v>
      </c>
      <c r="E42" s="78" t="s">
        <v>1141</v>
      </c>
      <c r="F42" s="67">
        <v>0</v>
      </c>
    </row>
    <row r="43" spans="1:6" x14ac:dyDescent="0.35">
      <c r="A43" s="73">
        <v>16</v>
      </c>
      <c r="B43" s="88" t="s">
        <v>69</v>
      </c>
      <c r="C43" s="88" t="s">
        <v>18</v>
      </c>
      <c r="D43" s="88" t="s">
        <v>1163</v>
      </c>
      <c r="E43" s="100" t="s">
        <v>1142</v>
      </c>
      <c r="F43" s="88">
        <v>0</v>
      </c>
    </row>
    <row r="44" spans="1:6" x14ac:dyDescent="0.35">
      <c r="A44" s="73">
        <v>17</v>
      </c>
      <c r="B44" s="90" t="s">
        <v>70</v>
      </c>
      <c r="C44" s="90" t="s">
        <v>16</v>
      </c>
      <c r="D44" s="90" t="s">
        <v>1164</v>
      </c>
      <c r="E44" s="101" t="s">
        <v>1143</v>
      </c>
      <c r="F44" s="90">
        <v>0</v>
      </c>
    </row>
    <row r="45" spans="1:6" x14ac:dyDescent="0.35">
      <c r="A45" s="73">
        <v>18</v>
      </c>
      <c r="B45" s="71" t="s">
        <v>125</v>
      </c>
      <c r="C45" s="71" t="s">
        <v>17</v>
      </c>
      <c r="D45" s="71" t="s">
        <v>1165</v>
      </c>
      <c r="E45" s="83" t="s">
        <v>1144</v>
      </c>
      <c r="F45" s="71">
        <v>0</v>
      </c>
    </row>
    <row r="46" spans="1:6" x14ac:dyDescent="0.35">
      <c r="A46" s="73">
        <v>19</v>
      </c>
      <c r="B46" s="68" t="s">
        <v>77</v>
      </c>
      <c r="C46" s="68" t="s">
        <v>19</v>
      </c>
      <c r="D46" s="68" t="s">
        <v>1166</v>
      </c>
      <c r="E46" s="84" t="s">
        <v>1145</v>
      </c>
      <c r="F46" s="68">
        <v>0</v>
      </c>
    </row>
    <row r="47" spans="1:6" x14ac:dyDescent="0.35">
      <c r="A47" s="73">
        <v>20</v>
      </c>
      <c r="B47" s="70" t="s">
        <v>73</v>
      </c>
      <c r="C47" s="70" t="s">
        <v>16</v>
      </c>
      <c r="D47" s="70" t="s">
        <v>1167</v>
      </c>
      <c r="E47" s="80" t="s">
        <v>1146</v>
      </c>
      <c r="F47" s="70">
        <v>0</v>
      </c>
    </row>
    <row r="48" spans="1:6" x14ac:dyDescent="0.35">
      <c r="A48" s="73">
        <v>21</v>
      </c>
      <c r="B48" s="92" t="s">
        <v>78</v>
      </c>
      <c r="C48" s="92" t="s">
        <v>14</v>
      </c>
      <c r="D48" s="92" t="s">
        <v>1168</v>
      </c>
      <c r="E48" s="102" t="s">
        <v>1147</v>
      </c>
      <c r="F48" s="92">
        <v>0</v>
      </c>
    </row>
    <row r="49" spans="1:6" x14ac:dyDescent="0.35">
      <c r="A49" s="73">
        <v>22</v>
      </c>
      <c r="B49" s="69" t="s">
        <v>79</v>
      </c>
      <c r="C49" s="69" t="s">
        <v>20</v>
      </c>
      <c r="D49" s="69" t="s">
        <v>1169</v>
      </c>
      <c r="E49" s="82" t="s">
        <v>1148</v>
      </c>
      <c r="F49" s="69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73" t="s">
        <v>0</v>
      </c>
      <c r="C52" s="73" t="s">
        <v>28</v>
      </c>
    </row>
    <row r="53" spans="1:6" x14ac:dyDescent="0.35">
      <c r="A53" s="73">
        <v>1</v>
      </c>
      <c r="B53" s="63" t="s">
        <v>11</v>
      </c>
      <c r="C53" s="63">
        <f t="shared" ref="C53:C63" si="0">SUMIF($C$28:$C$49,B53,$F$28:$F$49)</f>
        <v>13</v>
      </c>
    </row>
    <row r="54" spans="1:6" x14ac:dyDescent="0.35">
      <c r="A54" s="73">
        <v>2</v>
      </c>
      <c r="B54" s="62" t="s">
        <v>21</v>
      </c>
      <c r="C54" s="62">
        <f t="shared" si="0"/>
        <v>11</v>
      </c>
    </row>
    <row r="55" spans="1:6" x14ac:dyDescent="0.35">
      <c r="A55" s="73">
        <v>3</v>
      </c>
      <c r="B55" s="64" t="s">
        <v>12</v>
      </c>
      <c r="C55" s="64">
        <f t="shared" si="0"/>
        <v>5</v>
      </c>
    </row>
    <row r="56" spans="1:6" x14ac:dyDescent="0.35">
      <c r="A56" s="73">
        <v>4</v>
      </c>
      <c r="B56" s="66" t="s">
        <v>14</v>
      </c>
      <c r="C56" s="66">
        <f t="shared" si="0"/>
        <v>4</v>
      </c>
    </row>
    <row r="57" spans="1:6" x14ac:dyDescent="0.35">
      <c r="A57" s="73">
        <v>5</v>
      </c>
      <c r="B57" s="72" t="s">
        <v>18</v>
      </c>
      <c r="C57" s="72">
        <f t="shared" si="0"/>
        <v>2</v>
      </c>
    </row>
    <row r="58" spans="1:6" x14ac:dyDescent="0.35">
      <c r="A58" s="73">
        <v>6</v>
      </c>
      <c r="B58" s="65" t="s">
        <v>13</v>
      </c>
      <c r="C58" s="65">
        <f t="shared" si="0"/>
        <v>1</v>
      </c>
    </row>
    <row r="59" spans="1:6" x14ac:dyDescent="0.35">
      <c r="A59" s="73">
        <v>7</v>
      </c>
      <c r="B59" s="67" t="s">
        <v>15</v>
      </c>
      <c r="C59" s="67">
        <f t="shared" si="0"/>
        <v>0</v>
      </c>
    </row>
    <row r="60" spans="1:6" x14ac:dyDescent="0.35">
      <c r="A60" s="73">
        <v>8</v>
      </c>
      <c r="B60" s="70" t="s">
        <v>16</v>
      </c>
      <c r="C60" s="70">
        <f t="shared" si="0"/>
        <v>0</v>
      </c>
    </row>
    <row r="61" spans="1:6" x14ac:dyDescent="0.35">
      <c r="A61" s="73">
        <v>9</v>
      </c>
      <c r="B61" s="69" t="s">
        <v>20</v>
      </c>
      <c r="C61" s="69">
        <f t="shared" si="0"/>
        <v>0</v>
      </c>
    </row>
    <row r="62" spans="1:6" x14ac:dyDescent="0.35">
      <c r="A62" s="73">
        <v>10</v>
      </c>
      <c r="B62" s="68" t="s">
        <v>19</v>
      </c>
      <c r="C62" s="68">
        <f t="shared" si="0"/>
        <v>0</v>
      </c>
    </row>
    <row r="63" spans="1:6" x14ac:dyDescent="0.35">
      <c r="A63" s="73">
        <v>11</v>
      </c>
      <c r="B63" s="71" t="s">
        <v>17</v>
      </c>
      <c r="C63" s="7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704E-95D4-42E5-983D-8B7F29D1619D}">
  <dimension ref="A1:L63"/>
  <sheetViews>
    <sheetView topLeftCell="A25" zoomScale="130" zoomScaleNormal="130" workbookViewId="0">
      <selection activeCell="A51" sqref="A51:XFD51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s="61" customFormat="1" x14ac:dyDescent="0.35">
      <c r="A1" s="96" t="s">
        <v>1170</v>
      </c>
      <c r="B1" s="96"/>
      <c r="C1" s="96"/>
    </row>
    <row r="2" spans="1:12" x14ac:dyDescent="0.35">
      <c r="A2" s="73" t="s">
        <v>349</v>
      </c>
      <c r="B2" s="73" t="s">
        <v>27</v>
      </c>
      <c r="C2" s="73" t="s">
        <v>0</v>
      </c>
      <c r="D2" s="60"/>
      <c r="J2" s="61"/>
    </row>
    <row r="3" spans="1:12" x14ac:dyDescent="0.35">
      <c r="A3" s="73">
        <v>1</v>
      </c>
      <c r="B3" s="63" t="s">
        <v>65</v>
      </c>
      <c r="C3" s="63" t="s">
        <v>11</v>
      </c>
      <c r="D3" s="93"/>
      <c r="J3" s="61"/>
    </row>
    <row r="4" spans="1:12" x14ac:dyDescent="0.35">
      <c r="A4" s="73">
        <v>2</v>
      </c>
      <c r="B4" s="53" t="s">
        <v>63</v>
      </c>
      <c r="C4" s="53" t="s">
        <v>21</v>
      </c>
      <c r="D4" s="93"/>
      <c r="J4" s="61"/>
    </row>
    <row r="5" spans="1:12" x14ac:dyDescent="0.35">
      <c r="A5" s="73">
        <v>3</v>
      </c>
      <c r="B5" s="63" t="s">
        <v>61</v>
      </c>
      <c r="C5" s="63" t="s">
        <v>11</v>
      </c>
      <c r="D5" s="94"/>
      <c r="J5" s="61"/>
    </row>
    <row r="6" spans="1:12" x14ac:dyDescent="0.35">
      <c r="A6" s="73">
        <v>4</v>
      </c>
      <c r="B6" s="66" t="s">
        <v>72</v>
      </c>
      <c r="C6" s="66" t="s">
        <v>14</v>
      </c>
      <c r="D6" s="94"/>
      <c r="J6" s="61"/>
    </row>
    <row r="7" spans="1:12" x14ac:dyDescent="0.35">
      <c r="A7" s="73">
        <v>5</v>
      </c>
      <c r="B7" s="89" t="s">
        <v>75</v>
      </c>
      <c r="C7" s="89" t="s">
        <v>20</v>
      </c>
      <c r="D7" s="61"/>
      <c r="J7" s="61"/>
    </row>
    <row r="8" spans="1:12" x14ac:dyDescent="0.35">
      <c r="A8" s="73">
        <v>6</v>
      </c>
      <c r="B8" s="72" t="s">
        <v>67</v>
      </c>
      <c r="C8" s="72" t="s">
        <v>18</v>
      </c>
      <c r="D8" s="93"/>
      <c r="J8" s="61"/>
    </row>
    <row r="9" spans="1:12" x14ac:dyDescent="0.35">
      <c r="A9" s="73">
        <v>7</v>
      </c>
      <c r="B9" s="64" t="s">
        <v>64</v>
      </c>
      <c r="C9" s="64" t="s">
        <v>12</v>
      </c>
      <c r="D9" s="61"/>
      <c r="J9" s="61"/>
    </row>
    <row r="10" spans="1:12" x14ac:dyDescent="0.35">
      <c r="A10" s="73">
        <v>8</v>
      </c>
      <c r="B10" s="67" t="s">
        <v>66</v>
      </c>
      <c r="C10" s="67" t="s">
        <v>15</v>
      </c>
      <c r="D10" s="93"/>
      <c r="J10" s="61"/>
    </row>
    <row r="11" spans="1:12" x14ac:dyDescent="0.35">
      <c r="A11" s="73">
        <v>9</v>
      </c>
      <c r="B11" s="65" t="s">
        <v>62</v>
      </c>
      <c r="C11" s="65" t="s">
        <v>13</v>
      </c>
      <c r="D11" s="94"/>
      <c r="J11" s="61"/>
    </row>
    <row r="12" spans="1:12" x14ac:dyDescent="0.35">
      <c r="A12" s="73">
        <v>10</v>
      </c>
      <c r="B12" s="65" t="s">
        <v>68</v>
      </c>
      <c r="C12" s="65" t="s">
        <v>13</v>
      </c>
      <c r="D12" s="94"/>
      <c r="J12" s="61"/>
    </row>
    <row r="13" spans="1:12" x14ac:dyDescent="0.35">
      <c r="A13" s="73">
        <v>11</v>
      </c>
      <c r="B13" s="68" t="s">
        <v>80</v>
      </c>
      <c r="C13" s="68" t="s">
        <v>19</v>
      </c>
      <c r="D13" s="94"/>
      <c r="J13" s="61"/>
    </row>
    <row r="14" spans="1:12" x14ac:dyDescent="0.35">
      <c r="A14" s="73">
        <v>12</v>
      </c>
      <c r="B14" s="64" t="s">
        <v>71</v>
      </c>
      <c r="C14" s="64" t="s">
        <v>12</v>
      </c>
      <c r="D14" s="94"/>
      <c r="J14" s="61"/>
      <c r="K14" s="61"/>
      <c r="L14" s="61"/>
    </row>
    <row r="15" spans="1:12" x14ac:dyDescent="0.35">
      <c r="A15" s="73">
        <v>13</v>
      </c>
      <c r="B15" s="88" t="s">
        <v>69</v>
      </c>
      <c r="C15" s="88" t="s">
        <v>18</v>
      </c>
      <c r="D15" s="94"/>
      <c r="J15" s="61"/>
      <c r="K15" s="61"/>
      <c r="L15" s="61"/>
    </row>
    <row r="16" spans="1:12" x14ac:dyDescent="0.35">
      <c r="A16" s="73">
        <v>14</v>
      </c>
      <c r="B16" s="67" t="s">
        <v>74</v>
      </c>
      <c r="C16" s="67" t="s">
        <v>15</v>
      </c>
      <c r="D16" s="93"/>
      <c r="J16" s="61"/>
      <c r="K16" s="61"/>
      <c r="L16" s="61"/>
    </row>
    <row r="17" spans="1:12" x14ac:dyDescent="0.35">
      <c r="A17" s="73">
        <v>15</v>
      </c>
      <c r="B17" s="90" t="s">
        <v>70</v>
      </c>
      <c r="C17" s="90" t="s">
        <v>16</v>
      </c>
      <c r="D17" s="94"/>
      <c r="J17" s="61"/>
      <c r="K17" s="61"/>
      <c r="L17" s="61"/>
    </row>
    <row r="18" spans="1:12" x14ac:dyDescent="0.35">
      <c r="A18" s="73">
        <v>16</v>
      </c>
      <c r="B18" s="70" t="s">
        <v>73</v>
      </c>
      <c r="C18" s="70" t="s">
        <v>16</v>
      </c>
      <c r="D18" s="93"/>
      <c r="J18" s="61"/>
      <c r="K18" s="61"/>
      <c r="L18" s="61"/>
    </row>
    <row r="19" spans="1:12" x14ac:dyDescent="0.35">
      <c r="A19" s="73">
        <v>17</v>
      </c>
      <c r="B19" s="71" t="s">
        <v>76</v>
      </c>
      <c r="C19" s="71" t="s">
        <v>17</v>
      </c>
      <c r="D19" s="61"/>
      <c r="J19" s="61"/>
      <c r="K19" s="61"/>
      <c r="L19" s="61"/>
    </row>
    <row r="20" spans="1:12" x14ac:dyDescent="0.35">
      <c r="A20" s="73">
        <v>18</v>
      </c>
      <c r="B20" s="89" t="s">
        <v>79</v>
      </c>
      <c r="C20" s="89" t="s">
        <v>20</v>
      </c>
      <c r="D20" s="94"/>
      <c r="J20" s="61"/>
      <c r="K20" s="61"/>
      <c r="L20" s="61"/>
    </row>
    <row r="21" spans="1:12" x14ac:dyDescent="0.35">
      <c r="A21" s="73">
        <v>19</v>
      </c>
      <c r="B21" s="71" t="s">
        <v>125</v>
      </c>
      <c r="C21" s="71" t="s">
        <v>17</v>
      </c>
      <c r="D21" s="94"/>
      <c r="J21" s="61"/>
      <c r="K21" s="61"/>
      <c r="L21" s="61"/>
    </row>
    <row r="22" spans="1:12" x14ac:dyDescent="0.35">
      <c r="A22" s="73">
        <v>20</v>
      </c>
      <c r="B22" s="59" t="s">
        <v>77</v>
      </c>
      <c r="C22" s="59" t="s">
        <v>19</v>
      </c>
      <c r="D22" s="94"/>
      <c r="J22" s="61"/>
      <c r="K22" s="61"/>
      <c r="L22" s="61"/>
    </row>
    <row r="23" spans="1:12" x14ac:dyDescent="0.35">
      <c r="A23" s="73">
        <v>21</v>
      </c>
      <c r="B23" s="104" t="s">
        <v>78</v>
      </c>
      <c r="C23" s="104" t="s">
        <v>14</v>
      </c>
      <c r="D23" s="93"/>
      <c r="J23" s="61"/>
      <c r="K23" s="61"/>
      <c r="L23" s="61"/>
    </row>
    <row r="24" spans="1:12" x14ac:dyDescent="0.35">
      <c r="A24" s="73">
        <v>22</v>
      </c>
      <c r="B24" s="53" t="s">
        <v>81</v>
      </c>
      <c r="C24" s="53" t="s">
        <v>21</v>
      </c>
      <c r="D24" s="94"/>
      <c r="J24" s="61"/>
      <c r="K24" s="61"/>
      <c r="L24" s="61"/>
    </row>
    <row r="26" spans="1:12" s="61" customFormat="1" x14ac:dyDescent="0.35">
      <c r="A26" s="95" t="s">
        <v>1171</v>
      </c>
      <c r="B26" s="95"/>
      <c r="C26" s="95"/>
      <c r="D26" s="95"/>
      <c r="E26" s="95"/>
      <c r="F26" s="95"/>
    </row>
    <row r="27" spans="1:12" x14ac:dyDescent="0.35">
      <c r="A27" s="73" t="s">
        <v>349</v>
      </c>
      <c r="B27" s="73" t="s">
        <v>27</v>
      </c>
      <c r="C27" s="73" t="s">
        <v>0</v>
      </c>
      <c r="D27" s="73" t="s">
        <v>85</v>
      </c>
      <c r="E27" s="73" t="s">
        <v>86</v>
      </c>
      <c r="F27" s="73" t="s">
        <v>28</v>
      </c>
    </row>
    <row r="28" spans="1:12" x14ac:dyDescent="0.35">
      <c r="A28" s="73">
        <v>1</v>
      </c>
      <c r="B28" s="62" t="s">
        <v>63</v>
      </c>
      <c r="C28" s="62" t="s">
        <v>21</v>
      </c>
      <c r="D28" s="62" t="s">
        <v>1027</v>
      </c>
      <c r="E28" s="76" t="s">
        <v>1014</v>
      </c>
      <c r="F28" s="62">
        <v>25</v>
      </c>
    </row>
    <row r="29" spans="1:12" x14ac:dyDescent="0.35">
      <c r="A29" s="73">
        <v>2</v>
      </c>
      <c r="B29" s="63" t="s">
        <v>61</v>
      </c>
      <c r="C29" s="63" t="s">
        <v>11</v>
      </c>
      <c r="D29" s="63" t="s">
        <v>1029</v>
      </c>
      <c r="E29" s="74" t="s">
        <v>1015</v>
      </c>
      <c r="F29" s="63">
        <v>18</v>
      </c>
    </row>
    <row r="30" spans="1:12" x14ac:dyDescent="0.35">
      <c r="A30" s="73">
        <v>3</v>
      </c>
      <c r="B30" s="66" t="s">
        <v>72</v>
      </c>
      <c r="C30" s="66" t="s">
        <v>14</v>
      </c>
      <c r="D30" s="66" t="s">
        <v>1030</v>
      </c>
      <c r="E30" s="81" t="s">
        <v>1016</v>
      </c>
      <c r="F30" s="66">
        <v>15</v>
      </c>
    </row>
    <row r="31" spans="1:12" x14ac:dyDescent="0.35">
      <c r="A31" s="73">
        <v>4</v>
      </c>
      <c r="B31" s="67" t="s">
        <v>66</v>
      </c>
      <c r="C31" s="67" t="s">
        <v>15</v>
      </c>
      <c r="D31" s="67" t="s">
        <v>1031</v>
      </c>
      <c r="E31" s="78" t="s">
        <v>1017</v>
      </c>
      <c r="F31" s="67">
        <v>12</v>
      </c>
    </row>
    <row r="32" spans="1:12" x14ac:dyDescent="0.35">
      <c r="A32" s="73">
        <v>5</v>
      </c>
      <c r="B32" s="63" t="s">
        <v>65</v>
      </c>
      <c r="C32" s="63" t="s">
        <v>11</v>
      </c>
      <c r="D32" s="63" t="s">
        <v>1028</v>
      </c>
      <c r="E32" s="74" t="s">
        <v>1018</v>
      </c>
      <c r="F32" s="63">
        <v>10</v>
      </c>
    </row>
    <row r="33" spans="1:6" x14ac:dyDescent="0.35">
      <c r="A33" s="73">
        <v>6</v>
      </c>
      <c r="B33" s="64" t="s">
        <v>64</v>
      </c>
      <c r="C33" s="64" t="s">
        <v>12</v>
      </c>
      <c r="D33" s="87" t="s">
        <v>1026</v>
      </c>
      <c r="E33" s="77" t="s">
        <v>1019</v>
      </c>
      <c r="F33" s="64">
        <v>9</v>
      </c>
    </row>
    <row r="34" spans="1:6" x14ac:dyDescent="0.35">
      <c r="A34" s="73">
        <v>7</v>
      </c>
      <c r="B34" s="72" t="s">
        <v>67</v>
      </c>
      <c r="C34" s="72" t="s">
        <v>18</v>
      </c>
      <c r="D34" s="72" t="s">
        <v>1032</v>
      </c>
      <c r="E34" s="79" t="s">
        <v>1020</v>
      </c>
      <c r="F34" s="72">
        <v>6</v>
      </c>
    </row>
    <row r="35" spans="1:6" x14ac:dyDescent="0.35">
      <c r="A35" s="73">
        <v>8</v>
      </c>
      <c r="B35" s="65" t="s">
        <v>62</v>
      </c>
      <c r="C35" s="65" t="s">
        <v>13</v>
      </c>
      <c r="D35" s="65" t="s">
        <v>1033</v>
      </c>
      <c r="E35" s="75" t="s">
        <v>1021</v>
      </c>
      <c r="F35" s="65">
        <v>4</v>
      </c>
    </row>
    <row r="36" spans="1:6" x14ac:dyDescent="0.35">
      <c r="A36" s="73">
        <v>9</v>
      </c>
      <c r="B36" s="69" t="s">
        <v>75</v>
      </c>
      <c r="C36" s="69" t="s">
        <v>20</v>
      </c>
      <c r="D36" s="69" t="s">
        <v>1034</v>
      </c>
      <c r="E36" s="82" t="s">
        <v>1022</v>
      </c>
      <c r="F36" s="69">
        <v>2</v>
      </c>
    </row>
    <row r="37" spans="1:6" x14ac:dyDescent="0.35">
      <c r="A37" s="73">
        <v>10</v>
      </c>
      <c r="B37" s="67" t="s">
        <v>74</v>
      </c>
      <c r="C37" s="67" t="s">
        <v>15</v>
      </c>
      <c r="D37" s="67" t="s">
        <v>1035</v>
      </c>
      <c r="E37" s="78" t="s">
        <v>1023</v>
      </c>
      <c r="F37" s="67">
        <v>1</v>
      </c>
    </row>
    <row r="38" spans="1:6" x14ac:dyDescent="0.35">
      <c r="A38" s="73">
        <v>11</v>
      </c>
      <c r="B38" s="65" t="s">
        <v>68</v>
      </c>
      <c r="C38" s="65" t="s">
        <v>13</v>
      </c>
      <c r="D38" s="65" t="s">
        <v>1036</v>
      </c>
      <c r="E38" s="75" t="s">
        <v>1024</v>
      </c>
      <c r="F38" s="65">
        <v>0</v>
      </c>
    </row>
    <row r="39" spans="1:6" x14ac:dyDescent="0.35">
      <c r="A39" s="73">
        <v>12</v>
      </c>
      <c r="B39" s="64" t="s">
        <v>71</v>
      </c>
      <c r="C39" s="64" t="s">
        <v>12</v>
      </c>
      <c r="D39" s="64" t="s">
        <v>1037</v>
      </c>
      <c r="E39" s="77" t="s">
        <v>1025</v>
      </c>
      <c r="F39" s="64">
        <v>0</v>
      </c>
    </row>
    <row r="40" spans="1:6" x14ac:dyDescent="0.35">
      <c r="A40" s="73">
        <v>13</v>
      </c>
      <c r="B40" s="70" t="s">
        <v>70</v>
      </c>
      <c r="C40" s="70" t="s">
        <v>16</v>
      </c>
      <c r="D40" s="70" t="s">
        <v>1038</v>
      </c>
      <c r="E40" s="80" t="s">
        <v>122</v>
      </c>
      <c r="F40" s="70">
        <v>0</v>
      </c>
    </row>
    <row r="41" spans="1:6" x14ac:dyDescent="0.35">
      <c r="A41" s="73">
        <v>14</v>
      </c>
      <c r="B41" s="62" t="s">
        <v>81</v>
      </c>
      <c r="C41" s="62" t="s">
        <v>21</v>
      </c>
      <c r="D41" s="62" t="s">
        <v>1039</v>
      </c>
      <c r="E41" s="76" t="s">
        <v>122</v>
      </c>
      <c r="F41" s="62">
        <v>0</v>
      </c>
    </row>
    <row r="42" spans="1:6" x14ac:dyDescent="0.35">
      <c r="A42" s="73">
        <v>15</v>
      </c>
      <c r="B42" s="68" t="s">
        <v>77</v>
      </c>
      <c r="C42" s="68" t="s">
        <v>19</v>
      </c>
      <c r="D42" s="68" t="s">
        <v>1040</v>
      </c>
      <c r="E42" s="84" t="s">
        <v>122</v>
      </c>
      <c r="F42" s="68">
        <v>0</v>
      </c>
    </row>
    <row r="43" spans="1:6" x14ac:dyDescent="0.35">
      <c r="A43" s="73">
        <v>16</v>
      </c>
      <c r="B43" s="69" t="s">
        <v>79</v>
      </c>
      <c r="C43" s="69" t="s">
        <v>20</v>
      </c>
      <c r="D43" s="69" t="s">
        <v>1041</v>
      </c>
      <c r="E43" s="82" t="s">
        <v>122</v>
      </c>
      <c r="F43" s="69">
        <v>0</v>
      </c>
    </row>
    <row r="44" spans="1:6" x14ac:dyDescent="0.35">
      <c r="A44" s="73">
        <v>17</v>
      </c>
      <c r="B44" s="71" t="s">
        <v>125</v>
      </c>
      <c r="C44" s="71" t="s">
        <v>17</v>
      </c>
      <c r="D44" s="71" t="s">
        <v>1042</v>
      </c>
      <c r="E44" s="83" t="s">
        <v>122</v>
      </c>
      <c r="F44" s="71">
        <v>0</v>
      </c>
    </row>
    <row r="45" spans="1:6" x14ac:dyDescent="0.35">
      <c r="A45" s="73">
        <v>18</v>
      </c>
      <c r="B45" s="70" t="s">
        <v>73</v>
      </c>
      <c r="C45" s="70" t="s">
        <v>16</v>
      </c>
      <c r="D45" s="70" t="s">
        <v>1043</v>
      </c>
      <c r="E45" s="80" t="s">
        <v>122</v>
      </c>
      <c r="F45" s="70">
        <v>0</v>
      </c>
    </row>
    <row r="46" spans="1:6" x14ac:dyDescent="0.35">
      <c r="A46" s="73">
        <v>19</v>
      </c>
      <c r="B46" s="68" t="s">
        <v>80</v>
      </c>
      <c r="C46" s="68" t="s">
        <v>19</v>
      </c>
      <c r="D46" s="68" t="s">
        <v>1044</v>
      </c>
      <c r="E46" s="84" t="s">
        <v>122</v>
      </c>
      <c r="F46" s="68">
        <v>0</v>
      </c>
    </row>
    <row r="47" spans="1:6" x14ac:dyDescent="0.35">
      <c r="A47" s="73">
        <v>20</v>
      </c>
      <c r="B47" s="72" t="s">
        <v>69</v>
      </c>
      <c r="C47" s="72" t="s">
        <v>18</v>
      </c>
      <c r="D47" s="72" t="s">
        <v>1045</v>
      </c>
      <c r="E47" s="79" t="s">
        <v>122</v>
      </c>
      <c r="F47" s="72">
        <v>0</v>
      </c>
    </row>
    <row r="48" spans="1:6" x14ac:dyDescent="0.35">
      <c r="A48" s="73">
        <v>21</v>
      </c>
      <c r="B48" s="71" t="s">
        <v>76</v>
      </c>
      <c r="C48" s="71" t="s">
        <v>17</v>
      </c>
      <c r="D48" s="71" t="s">
        <v>1046</v>
      </c>
      <c r="E48" s="83" t="s">
        <v>122</v>
      </c>
      <c r="F48" s="71">
        <v>0</v>
      </c>
    </row>
    <row r="49" spans="1:6" x14ac:dyDescent="0.35">
      <c r="A49" s="73">
        <v>22</v>
      </c>
      <c r="B49" s="66" t="s">
        <v>78</v>
      </c>
      <c r="C49" s="66" t="s">
        <v>14</v>
      </c>
      <c r="D49" s="66" t="s">
        <v>1047</v>
      </c>
      <c r="E49" s="81" t="s">
        <v>123</v>
      </c>
      <c r="F49" s="66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73" t="s">
        <v>0</v>
      </c>
      <c r="C52" s="73" t="s">
        <v>28</v>
      </c>
    </row>
    <row r="53" spans="1:6" x14ac:dyDescent="0.35">
      <c r="A53" s="73">
        <v>1</v>
      </c>
      <c r="B53" s="63" t="s">
        <v>11</v>
      </c>
      <c r="C53" s="63">
        <f t="shared" ref="C53:C63" si="0">SUMIF($C$28:$C$45,B53,$F$28:$F$45)</f>
        <v>28</v>
      </c>
    </row>
    <row r="54" spans="1:6" x14ac:dyDescent="0.35">
      <c r="A54" s="73">
        <v>2</v>
      </c>
      <c r="B54" s="62" t="s">
        <v>21</v>
      </c>
      <c r="C54" s="62">
        <f t="shared" si="0"/>
        <v>25</v>
      </c>
    </row>
    <row r="55" spans="1:6" x14ac:dyDescent="0.35">
      <c r="A55" s="73">
        <v>3</v>
      </c>
      <c r="B55" s="66" t="s">
        <v>14</v>
      </c>
      <c r="C55" s="66">
        <f t="shared" si="0"/>
        <v>15</v>
      </c>
    </row>
    <row r="56" spans="1:6" x14ac:dyDescent="0.35">
      <c r="A56" s="73">
        <v>4</v>
      </c>
      <c r="B56" s="67" t="s">
        <v>15</v>
      </c>
      <c r="C56" s="67">
        <f t="shared" si="0"/>
        <v>13</v>
      </c>
    </row>
    <row r="57" spans="1:6" x14ac:dyDescent="0.35">
      <c r="A57" s="73">
        <v>5</v>
      </c>
      <c r="B57" s="72" t="s">
        <v>18</v>
      </c>
      <c r="C57" s="72">
        <f t="shared" si="0"/>
        <v>6</v>
      </c>
    </row>
    <row r="58" spans="1:6" x14ac:dyDescent="0.35">
      <c r="A58" s="73">
        <v>6</v>
      </c>
      <c r="B58" s="64" t="s">
        <v>12</v>
      </c>
      <c r="C58" s="64">
        <f t="shared" si="0"/>
        <v>9</v>
      </c>
    </row>
    <row r="59" spans="1:6" x14ac:dyDescent="0.35">
      <c r="A59" s="73">
        <v>7</v>
      </c>
      <c r="B59" s="65" t="s">
        <v>13</v>
      </c>
      <c r="C59" s="65">
        <f t="shared" si="0"/>
        <v>4</v>
      </c>
    </row>
    <row r="60" spans="1:6" x14ac:dyDescent="0.35">
      <c r="A60" s="73">
        <v>8</v>
      </c>
      <c r="B60" s="69" t="s">
        <v>20</v>
      </c>
      <c r="C60" s="69">
        <f t="shared" si="0"/>
        <v>2</v>
      </c>
    </row>
    <row r="61" spans="1:6" x14ac:dyDescent="0.35">
      <c r="A61" s="73">
        <v>9</v>
      </c>
      <c r="B61" s="70" t="s">
        <v>16</v>
      </c>
      <c r="C61" s="70">
        <f t="shared" si="0"/>
        <v>0</v>
      </c>
    </row>
    <row r="62" spans="1:6" x14ac:dyDescent="0.35">
      <c r="A62" s="73">
        <v>10</v>
      </c>
      <c r="B62" s="68" t="s">
        <v>19</v>
      </c>
      <c r="C62" s="68">
        <f t="shared" si="0"/>
        <v>0</v>
      </c>
    </row>
    <row r="63" spans="1:6" x14ac:dyDescent="0.35">
      <c r="A63" s="73">
        <v>11</v>
      </c>
      <c r="B63" s="71" t="s">
        <v>17</v>
      </c>
      <c r="C63" s="7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3835-7E0E-4A36-8AF7-79C3210DE784}">
  <dimension ref="A1:L63"/>
  <sheetViews>
    <sheetView topLeftCell="A40" zoomScale="130" zoomScaleNormal="130" workbookViewId="0">
      <selection activeCell="D58" sqref="D58"/>
    </sheetView>
  </sheetViews>
  <sheetFormatPr defaultRowHeight="14.5" x14ac:dyDescent="0.35"/>
  <cols>
    <col min="1" max="1" width="8.7265625" style="6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s="61" customFormat="1" x14ac:dyDescent="0.35">
      <c r="A1" s="96" t="s">
        <v>1170</v>
      </c>
      <c r="B1" s="96"/>
      <c r="C1" s="96"/>
    </row>
    <row r="2" spans="1:12" x14ac:dyDescent="0.35">
      <c r="A2" s="73" t="s">
        <v>349</v>
      </c>
      <c r="B2" s="73" t="s">
        <v>27</v>
      </c>
      <c r="C2" s="73" t="s">
        <v>0</v>
      </c>
      <c r="D2" s="60"/>
      <c r="J2" s="61"/>
    </row>
    <row r="3" spans="1:12" x14ac:dyDescent="0.35">
      <c r="A3" s="73">
        <v>1</v>
      </c>
      <c r="B3" s="63" t="s">
        <v>61</v>
      </c>
      <c r="C3" s="63" t="s">
        <v>11</v>
      </c>
      <c r="D3" s="93"/>
      <c r="J3" s="61"/>
    </row>
    <row r="4" spans="1:12" x14ac:dyDescent="0.35">
      <c r="A4" s="73">
        <v>2</v>
      </c>
      <c r="B4" s="53" t="s">
        <v>63</v>
      </c>
      <c r="C4" s="53" t="s">
        <v>21</v>
      </c>
      <c r="D4" s="93"/>
      <c r="J4" s="61"/>
    </row>
    <row r="5" spans="1:12" x14ac:dyDescent="0.35">
      <c r="A5" s="73">
        <v>3</v>
      </c>
      <c r="B5" s="63" t="s">
        <v>65</v>
      </c>
      <c r="C5" s="63" t="s">
        <v>11</v>
      </c>
      <c r="D5" s="94"/>
      <c r="J5" s="61"/>
    </row>
    <row r="6" spans="1:12" x14ac:dyDescent="0.35">
      <c r="A6" s="73">
        <v>4</v>
      </c>
      <c r="B6" s="65" t="s">
        <v>62</v>
      </c>
      <c r="C6" s="65" t="s">
        <v>13</v>
      </c>
      <c r="D6" s="94"/>
      <c r="J6" s="61"/>
    </row>
    <row r="7" spans="1:12" x14ac:dyDescent="0.35">
      <c r="A7" s="73">
        <v>5</v>
      </c>
      <c r="B7" s="66" t="s">
        <v>72</v>
      </c>
      <c r="C7" s="66" t="s">
        <v>14</v>
      </c>
      <c r="D7" s="61"/>
      <c r="J7" s="61"/>
    </row>
    <row r="8" spans="1:12" x14ac:dyDescent="0.35">
      <c r="A8" s="73">
        <v>6</v>
      </c>
      <c r="B8" s="88" t="s">
        <v>69</v>
      </c>
      <c r="C8" s="88" t="s">
        <v>18</v>
      </c>
      <c r="D8" s="93"/>
      <c r="J8" s="61"/>
    </row>
    <row r="9" spans="1:12" x14ac:dyDescent="0.35">
      <c r="A9" s="73">
        <v>7</v>
      </c>
      <c r="B9" s="64" t="s">
        <v>71</v>
      </c>
      <c r="C9" s="64" t="s">
        <v>12</v>
      </c>
      <c r="D9" s="61"/>
      <c r="J9" s="61"/>
    </row>
    <row r="10" spans="1:12" x14ac:dyDescent="0.35">
      <c r="A10" s="73">
        <v>8</v>
      </c>
      <c r="B10" s="67" t="s">
        <v>66</v>
      </c>
      <c r="C10" s="67" t="s">
        <v>15</v>
      </c>
      <c r="D10" s="93"/>
      <c r="J10" s="61"/>
    </row>
    <row r="11" spans="1:12" x14ac:dyDescent="0.35">
      <c r="A11" s="73">
        <v>9</v>
      </c>
      <c r="B11" s="71" t="s">
        <v>76</v>
      </c>
      <c r="C11" s="71" t="s">
        <v>17</v>
      </c>
      <c r="D11" s="94"/>
      <c r="J11" s="61"/>
    </row>
    <row r="12" spans="1:12" x14ac:dyDescent="0.35">
      <c r="A12" s="73">
        <v>10</v>
      </c>
      <c r="B12" s="89" t="s">
        <v>75</v>
      </c>
      <c r="C12" s="89" t="s">
        <v>20</v>
      </c>
      <c r="D12" s="94"/>
      <c r="J12" s="61"/>
    </row>
    <row r="13" spans="1:12" x14ac:dyDescent="0.35">
      <c r="A13" s="73">
        <v>11</v>
      </c>
      <c r="B13" s="59" t="s">
        <v>77</v>
      </c>
      <c r="C13" s="59" t="s">
        <v>19</v>
      </c>
      <c r="D13" s="94"/>
      <c r="J13" s="61"/>
    </row>
    <row r="14" spans="1:12" x14ac:dyDescent="0.35">
      <c r="A14" s="73">
        <v>12</v>
      </c>
      <c r="B14" s="89" t="s">
        <v>79</v>
      </c>
      <c r="C14" s="89" t="s">
        <v>20</v>
      </c>
      <c r="D14" s="94"/>
      <c r="J14" s="61"/>
      <c r="K14" s="61"/>
      <c r="L14" s="61"/>
    </row>
    <row r="15" spans="1:12" x14ac:dyDescent="0.35">
      <c r="A15" s="73">
        <v>13</v>
      </c>
      <c r="B15" s="67" t="s">
        <v>74</v>
      </c>
      <c r="C15" s="67" t="s">
        <v>15</v>
      </c>
      <c r="D15" s="94"/>
      <c r="J15" s="61"/>
      <c r="K15" s="61"/>
      <c r="L15" s="61"/>
    </row>
    <row r="16" spans="1:12" x14ac:dyDescent="0.35">
      <c r="A16" s="73">
        <v>14</v>
      </c>
      <c r="B16" s="70" t="s">
        <v>73</v>
      </c>
      <c r="C16" s="70" t="s">
        <v>16</v>
      </c>
      <c r="D16" s="93"/>
      <c r="J16" s="61"/>
      <c r="K16" s="61"/>
      <c r="L16" s="61"/>
    </row>
    <row r="17" spans="1:12" x14ac:dyDescent="0.35">
      <c r="A17" s="73">
        <v>15</v>
      </c>
      <c r="B17" s="53" t="s">
        <v>81</v>
      </c>
      <c r="C17" s="53" t="s">
        <v>21</v>
      </c>
      <c r="D17" s="94"/>
      <c r="J17" s="61"/>
      <c r="K17" s="61"/>
      <c r="L17" s="61"/>
    </row>
    <row r="18" spans="1:12" x14ac:dyDescent="0.35">
      <c r="A18" s="73">
        <v>16</v>
      </c>
      <c r="B18" s="90" t="s">
        <v>70</v>
      </c>
      <c r="C18" s="90" t="s">
        <v>16</v>
      </c>
      <c r="D18" s="93"/>
      <c r="J18" s="61"/>
      <c r="K18" s="61"/>
      <c r="L18" s="61"/>
    </row>
    <row r="19" spans="1:12" x14ac:dyDescent="0.35">
      <c r="A19" s="73">
        <v>17</v>
      </c>
      <c r="B19" s="92" t="s">
        <v>78</v>
      </c>
      <c r="C19" s="92" t="s">
        <v>14</v>
      </c>
      <c r="D19" s="61"/>
      <c r="J19" s="61"/>
      <c r="K19" s="61"/>
      <c r="L19" s="61"/>
    </row>
    <row r="20" spans="1:12" x14ac:dyDescent="0.35">
      <c r="A20" s="73">
        <v>18</v>
      </c>
      <c r="B20" s="105" t="s">
        <v>64</v>
      </c>
      <c r="C20" s="105" t="s">
        <v>12</v>
      </c>
      <c r="D20" s="94"/>
      <c r="J20" s="61"/>
      <c r="K20" s="61"/>
      <c r="L20" s="61"/>
    </row>
    <row r="21" spans="1:12" x14ac:dyDescent="0.35">
      <c r="A21" s="73">
        <v>19</v>
      </c>
      <c r="B21" s="59" t="s">
        <v>80</v>
      </c>
      <c r="C21" s="59" t="s">
        <v>19</v>
      </c>
      <c r="D21" s="94"/>
      <c r="J21" s="61"/>
      <c r="K21" s="61"/>
      <c r="L21" s="61"/>
    </row>
    <row r="22" spans="1:12" x14ac:dyDescent="0.35">
      <c r="A22" s="73">
        <v>20</v>
      </c>
      <c r="B22" s="71" t="s">
        <v>125</v>
      </c>
      <c r="C22" s="71" t="s">
        <v>17</v>
      </c>
      <c r="D22" s="94"/>
      <c r="J22" s="61"/>
      <c r="K22" s="61"/>
      <c r="L22" s="61"/>
    </row>
    <row r="23" spans="1:12" x14ac:dyDescent="0.35">
      <c r="A23" s="73">
        <v>21</v>
      </c>
      <c r="B23" s="88" t="s">
        <v>67</v>
      </c>
      <c r="C23" s="88" t="s">
        <v>18</v>
      </c>
      <c r="D23" s="93"/>
      <c r="J23" s="61"/>
      <c r="K23" s="61"/>
      <c r="L23" s="61"/>
    </row>
    <row r="24" spans="1:12" x14ac:dyDescent="0.35">
      <c r="A24" s="73">
        <v>22</v>
      </c>
      <c r="B24" s="65" t="s">
        <v>68</v>
      </c>
      <c r="C24" s="65" t="s">
        <v>13</v>
      </c>
      <c r="D24" s="94"/>
      <c r="J24" s="61"/>
      <c r="K24" s="61"/>
      <c r="L24" s="61"/>
    </row>
    <row r="25" spans="1:12" x14ac:dyDescent="0.35">
      <c r="D25" s="61"/>
      <c r="J25" s="61"/>
      <c r="K25" s="61"/>
      <c r="L25" s="61"/>
    </row>
    <row r="26" spans="1:12" s="61" customFormat="1" x14ac:dyDescent="0.35">
      <c r="A26" s="95" t="s">
        <v>1171</v>
      </c>
      <c r="B26" s="95"/>
      <c r="C26" s="95"/>
      <c r="D26" s="95"/>
      <c r="E26" s="95"/>
      <c r="F26" s="95"/>
    </row>
    <row r="27" spans="1:12" x14ac:dyDescent="0.35">
      <c r="A27" s="73" t="s">
        <v>349</v>
      </c>
      <c r="B27" s="73" t="s">
        <v>27</v>
      </c>
      <c r="C27" s="73" t="s">
        <v>0</v>
      </c>
      <c r="D27" s="73" t="s">
        <v>85</v>
      </c>
      <c r="E27" s="73" t="s">
        <v>86</v>
      </c>
      <c r="F27" s="73" t="s">
        <v>28</v>
      </c>
      <c r="G27" s="61"/>
      <c r="H27" s="61"/>
      <c r="I27" s="61"/>
      <c r="J27" s="61"/>
      <c r="K27" s="61"/>
      <c r="L27" s="61"/>
    </row>
    <row r="28" spans="1:12" x14ac:dyDescent="0.35">
      <c r="A28" s="73">
        <v>1</v>
      </c>
      <c r="B28" s="62" t="s">
        <v>63</v>
      </c>
      <c r="C28" s="62" t="s">
        <v>21</v>
      </c>
      <c r="D28" s="87" t="s">
        <v>1048</v>
      </c>
      <c r="E28" s="76" t="s">
        <v>1070</v>
      </c>
      <c r="F28" s="62">
        <v>26</v>
      </c>
      <c r="G28" s="61"/>
      <c r="H28" s="61"/>
      <c r="I28" s="61"/>
      <c r="J28" s="61"/>
      <c r="K28" s="61"/>
      <c r="L28" s="61"/>
    </row>
    <row r="29" spans="1:12" x14ac:dyDescent="0.35">
      <c r="A29" s="73">
        <v>2</v>
      </c>
      <c r="B29" s="64" t="s">
        <v>64</v>
      </c>
      <c r="C29" s="64" t="s">
        <v>12</v>
      </c>
      <c r="D29" s="64" t="s">
        <v>1049</v>
      </c>
      <c r="E29" s="77" t="s">
        <v>1071</v>
      </c>
      <c r="F29" s="64">
        <v>18</v>
      </c>
    </row>
    <row r="30" spans="1:12" x14ac:dyDescent="0.35">
      <c r="A30" s="73">
        <v>3</v>
      </c>
      <c r="B30" s="63" t="s">
        <v>61</v>
      </c>
      <c r="C30" s="63" t="s">
        <v>11</v>
      </c>
      <c r="D30" s="63" t="s">
        <v>1050</v>
      </c>
      <c r="E30" s="74" t="s">
        <v>1072</v>
      </c>
      <c r="F30" s="63">
        <v>15</v>
      </c>
    </row>
    <row r="31" spans="1:12" x14ac:dyDescent="0.35">
      <c r="A31" s="73">
        <v>4</v>
      </c>
      <c r="B31" s="64" t="s">
        <v>71</v>
      </c>
      <c r="C31" s="64" t="s">
        <v>12</v>
      </c>
      <c r="D31" s="64" t="s">
        <v>1051</v>
      </c>
      <c r="E31" s="77" t="s">
        <v>1073</v>
      </c>
      <c r="F31" s="64">
        <v>12</v>
      </c>
    </row>
    <row r="32" spans="1:12" x14ac:dyDescent="0.35">
      <c r="A32" s="73">
        <v>5</v>
      </c>
      <c r="B32" s="62" t="s">
        <v>81</v>
      </c>
      <c r="C32" s="62" t="s">
        <v>21</v>
      </c>
      <c r="D32" s="62" t="s">
        <v>1052</v>
      </c>
      <c r="E32" s="76" t="s">
        <v>1074</v>
      </c>
      <c r="F32" s="62">
        <v>10</v>
      </c>
    </row>
    <row r="33" spans="1:6" x14ac:dyDescent="0.35">
      <c r="A33" s="73">
        <v>6</v>
      </c>
      <c r="B33" s="63" t="s">
        <v>65</v>
      </c>
      <c r="C33" s="63" t="s">
        <v>11</v>
      </c>
      <c r="D33" s="63" t="s">
        <v>1053</v>
      </c>
      <c r="E33" s="74" t="s">
        <v>1075</v>
      </c>
      <c r="F33" s="63">
        <v>8</v>
      </c>
    </row>
    <row r="34" spans="1:6" x14ac:dyDescent="0.35">
      <c r="A34" s="73">
        <v>7</v>
      </c>
      <c r="B34" s="72" t="s">
        <v>67</v>
      </c>
      <c r="C34" s="72" t="s">
        <v>18</v>
      </c>
      <c r="D34" s="72" t="s">
        <v>1054</v>
      </c>
      <c r="E34" s="79" t="s">
        <v>1076</v>
      </c>
      <c r="F34" s="72">
        <v>6</v>
      </c>
    </row>
    <row r="35" spans="1:6" x14ac:dyDescent="0.35">
      <c r="A35" s="73">
        <v>8</v>
      </c>
      <c r="B35" s="67" t="s">
        <v>66</v>
      </c>
      <c r="C35" s="67" t="s">
        <v>15</v>
      </c>
      <c r="D35" s="67" t="s">
        <v>1055</v>
      </c>
      <c r="E35" s="78" t="s">
        <v>1077</v>
      </c>
      <c r="F35" s="67">
        <v>4</v>
      </c>
    </row>
    <row r="36" spans="1:6" x14ac:dyDescent="0.35">
      <c r="A36" s="73">
        <v>9</v>
      </c>
      <c r="B36" s="65" t="s">
        <v>68</v>
      </c>
      <c r="C36" s="65" t="s">
        <v>13</v>
      </c>
      <c r="D36" s="65" t="s">
        <v>1056</v>
      </c>
      <c r="E36" s="75" t="s">
        <v>1078</v>
      </c>
      <c r="F36" s="65">
        <v>2</v>
      </c>
    </row>
    <row r="37" spans="1:6" x14ac:dyDescent="0.35">
      <c r="A37" s="73">
        <v>10</v>
      </c>
      <c r="B37" s="72" t="s">
        <v>69</v>
      </c>
      <c r="C37" s="72" t="s">
        <v>18</v>
      </c>
      <c r="D37" s="72" t="s">
        <v>1057</v>
      </c>
      <c r="E37" s="79" t="s">
        <v>1079</v>
      </c>
      <c r="F37" s="72">
        <v>1</v>
      </c>
    </row>
    <row r="38" spans="1:6" x14ac:dyDescent="0.35">
      <c r="A38" s="73">
        <v>11</v>
      </c>
      <c r="B38" s="65" t="s">
        <v>62</v>
      </c>
      <c r="C38" s="65" t="s">
        <v>13</v>
      </c>
      <c r="D38" s="65" t="s">
        <v>1058</v>
      </c>
      <c r="E38" s="75" t="s">
        <v>1080</v>
      </c>
      <c r="F38" s="65">
        <v>0</v>
      </c>
    </row>
    <row r="39" spans="1:6" x14ac:dyDescent="0.35">
      <c r="A39" s="73">
        <v>12</v>
      </c>
      <c r="B39" s="71" t="s">
        <v>76</v>
      </c>
      <c r="C39" s="71" t="s">
        <v>17</v>
      </c>
      <c r="D39" s="71" t="s">
        <v>1059</v>
      </c>
      <c r="E39" s="83" t="s">
        <v>1081</v>
      </c>
      <c r="F39" s="71">
        <v>0</v>
      </c>
    </row>
    <row r="40" spans="1:6" x14ac:dyDescent="0.35">
      <c r="A40" s="73">
        <v>13</v>
      </c>
      <c r="B40" s="68" t="s">
        <v>80</v>
      </c>
      <c r="C40" s="68" t="s">
        <v>19</v>
      </c>
      <c r="D40" s="68" t="s">
        <v>1060</v>
      </c>
      <c r="E40" s="84" t="s">
        <v>1082</v>
      </c>
      <c r="F40" s="68">
        <v>0</v>
      </c>
    </row>
    <row r="41" spans="1:6" x14ac:dyDescent="0.35">
      <c r="A41" s="73">
        <v>14</v>
      </c>
      <c r="B41" s="71" t="s">
        <v>125</v>
      </c>
      <c r="C41" s="71" t="s">
        <v>17</v>
      </c>
      <c r="D41" s="71" t="s">
        <v>1061</v>
      </c>
      <c r="E41" s="83" t="s">
        <v>1083</v>
      </c>
      <c r="F41" s="71">
        <v>0</v>
      </c>
    </row>
    <row r="42" spans="1:6" x14ac:dyDescent="0.35">
      <c r="A42" s="73">
        <v>15</v>
      </c>
      <c r="B42" s="68" t="s">
        <v>77</v>
      </c>
      <c r="C42" s="68" t="s">
        <v>19</v>
      </c>
      <c r="D42" s="68" t="s">
        <v>1062</v>
      </c>
      <c r="E42" s="84" t="s">
        <v>1084</v>
      </c>
      <c r="F42" s="68">
        <v>0</v>
      </c>
    </row>
    <row r="43" spans="1:6" x14ac:dyDescent="0.35">
      <c r="A43" s="73">
        <v>16</v>
      </c>
      <c r="B43" s="69" t="s">
        <v>79</v>
      </c>
      <c r="C43" s="69" t="s">
        <v>20</v>
      </c>
      <c r="D43" s="69" t="s">
        <v>1063</v>
      </c>
      <c r="E43" s="82" t="s">
        <v>1085</v>
      </c>
      <c r="F43" s="69">
        <v>0</v>
      </c>
    </row>
    <row r="44" spans="1:6" x14ac:dyDescent="0.35">
      <c r="A44" s="73">
        <v>17</v>
      </c>
      <c r="B44" s="70" t="s">
        <v>70</v>
      </c>
      <c r="C44" s="70" t="s">
        <v>16</v>
      </c>
      <c r="D44" s="70" t="s">
        <v>1064</v>
      </c>
      <c r="E44" s="80" t="s">
        <v>1086</v>
      </c>
      <c r="F44" s="70">
        <v>0</v>
      </c>
    </row>
    <row r="45" spans="1:6" x14ac:dyDescent="0.35">
      <c r="A45" s="73">
        <v>18</v>
      </c>
      <c r="B45" s="66" t="s">
        <v>72</v>
      </c>
      <c r="C45" s="66" t="s">
        <v>14</v>
      </c>
      <c r="D45" s="66" t="s">
        <v>1065</v>
      </c>
      <c r="E45" s="81" t="s">
        <v>1087</v>
      </c>
      <c r="F45" s="66">
        <v>0</v>
      </c>
    </row>
    <row r="46" spans="1:6" x14ac:dyDescent="0.35">
      <c r="A46" s="73">
        <v>19</v>
      </c>
      <c r="B46" s="67" t="s">
        <v>74</v>
      </c>
      <c r="C46" s="67" t="s">
        <v>15</v>
      </c>
      <c r="D46" s="67" t="s">
        <v>1066</v>
      </c>
      <c r="E46" s="78" t="s">
        <v>1088</v>
      </c>
      <c r="F46" s="67">
        <v>0</v>
      </c>
    </row>
    <row r="47" spans="1:6" x14ac:dyDescent="0.35">
      <c r="A47" s="73">
        <v>20</v>
      </c>
      <c r="B47" s="66" t="s">
        <v>78</v>
      </c>
      <c r="C47" s="66" t="s">
        <v>14</v>
      </c>
      <c r="D47" s="66" t="s">
        <v>1067</v>
      </c>
      <c r="E47" s="81" t="s">
        <v>1089</v>
      </c>
      <c r="F47" s="66">
        <v>0</v>
      </c>
    </row>
    <row r="48" spans="1:6" x14ac:dyDescent="0.35">
      <c r="A48" s="73">
        <v>21</v>
      </c>
      <c r="B48" s="69" t="s">
        <v>75</v>
      </c>
      <c r="C48" s="69" t="s">
        <v>20</v>
      </c>
      <c r="D48" s="69" t="s">
        <v>1068</v>
      </c>
      <c r="E48" s="82" t="s">
        <v>124</v>
      </c>
      <c r="F48" s="69">
        <v>0</v>
      </c>
    </row>
    <row r="49" spans="1:6" x14ac:dyDescent="0.35">
      <c r="A49" s="73">
        <v>22</v>
      </c>
      <c r="B49" s="70" t="s">
        <v>73</v>
      </c>
      <c r="C49" s="70" t="s">
        <v>16</v>
      </c>
      <c r="D49" s="70" t="s">
        <v>1069</v>
      </c>
      <c r="E49" s="80" t="s">
        <v>124</v>
      </c>
      <c r="F49" s="70">
        <v>0</v>
      </c>
    </row>
    <row r="51" spans="1:6" s="61" customFormat="1" x14ac:dyDescent="0.35">
      <c r="A51" s="96" t="s">
        <v>1172</v>
      </c>
      <c r="B51" s="96"/>
      <c r="C51" s="96"/>
    </row>
    <row r="52" spans="1:6" x14ac:dyDescent="0.35">
      <c r="A52" s="73" t="s">
        <v>349</v>
      </c>
      <c r="B52" s="73" t="s">
        <v>0</v>
      </c>
      <c r="C52" s="73" t="s">
        <v>28</v>
      </c>
    </row>
    <row r="53" spans="1:6" x14ac:dyDescent="0.35">
      <c r="A53" s="73">
        <v>1</v>
      </c>
      <c r="B53" s="62" t="s">
        <v>21</v>
      </c>
      <c r="C53" s="62">
        <f t="shared" ref="C53:C63" si="0">SUMIF($C$28:$C$49,B53,$F$28:$F$49)</f>
        <v>36</v>
      </c>
    </row>
    <row r="54" spans="1:6" x14ac:dyDescent="0.35">
      <c r="A54" s="73">
        <v>2</v>
      </c>
      <c r="B54" s="64" t="s">
        <v>12</v>
      </c>
      <c r="C54" s="64">
        <f t="shared" si="0"/>
        <v>30</v>
      </c>
    </row>
    <row r="55" spans="1:6" x14ac:dyDescent="0.35">
      <c r="A55" s="73">
        <v>3</v>
      </c>
      <c r="B55" s="63" t="s">
        <v>11</v>
      </c>
      <c r="C55" s="63">
        <f t="shared" si="0"/>
        <v>23</v>
      </c>
    </row>
    <row r="56" spans="1:6" x14ac:dyDescent="0.35">
      <c r="A56" s="73">
        <v>4</v>
      </c>
      <c r="B56" s="72" t="s">
        <v>18</v>
      </c>
      <c r="C56" s="72">
        <f t="shared" si="0"/>
        <v>7</v>
      </c>
    </row>
    <row r="57" spans="1:6" x14ac:dyDescent="0.35">
      <c r="A57" s="73">
        <v>5</v>
      </c>
      <c r="B57" s="67" t="s">
        <v>15</v>
      </c>
      <c r="C57" s="67">
        <f t="shared" si="0"/>
        <v>4</v>
      </c>
    </row>
    <row r="58" spans="1:6" x14ac:dyDescent="0.35">
      <c r="A58" s="73">
        <v>6</v>
      </c>
      <c r="B58" s="65" t="s">
        <v>13</v>
      </c>
      <c r="C58" s="65">
        <f t="shared" si="0"/>
        <v>2</v>
      </c>
    </row>
    <row r="59" spans="1:6" x14ac:dyDescent="0.35">
      <c r="A59" s="73">
        <v>7</v>
      </c>
      <c r="B59" s="70" t="s">
        <v>16</v>
      </c>
      <c r="C59" s="70">
        <f t="shared" si="0"/>
        <v>0</v>
      </c>
    </row>
    <row r="60" spans="1:6" x14ac:dyDescent="0.35">
      <c r="A60" s="73">
        <v>8</v>
      </c>
      <c r="B60" s="66" t="s">
        <v>14</v>
      </c>
      <c r="C60" s="66">
        <f t="shared" si="0"/>
        <v>0</v>
      </c>
    </row>
    <row r="61" spans="1:6" x14ac:dyDescent="0.35">
      <c r="A61" s="73">
        <v>9</v>
      </c>
      <c r="B61" s="69" t="s">
        <v>20</v>
      </c>
      <c r="C61" s="69">
        <f t="shared" si="0"/>
        <v>0</v>
      </c>
    </row>
    <row r="62" spans="1:6" x14ac:dyDescent="0.35">
      <c r="A62" s="73">
        <v>10</v>
      </c>
      <c r="B62" s="68" t="s">
        <v>19</v>
      </c>
      <c r="C62" s="68">
        <f t="shared" si="0"/>
        <v>0</v>
      </c>
    </row>
    <row r="63" spans="1:6" x14ac:dyDescent="0.35">
      <c r="A63" s="73">
        <v>11</v>
      </c>
      <c r="B63" s="71" t="s">
        <v>17</v>
      </c>
      <c r="C63" s="71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3466-815D-471F-A2AE-468F677A7BB9}">
  <dimension ref="A1:B31"/>
  <sheetViews>
    <sheetView topLeftCell="A7" workbookViewId="0">
      <selection activeCell="A31" sqref="A31"/>
    </sheetView>
  </sheetViews>
  <sheetFormatPr defaultRowHeight="14.5" x14ac:dyDescent="0.35"/>
  <sheetData>
    <row r="1" spans="1:2" ht="29" x14ac:dyDescent="0.35">
      <c r="A1" s="106" t="s">
        <v>1173</v>
      </c>
      <c r="B1" s="106" t="s">
        <v>1174</v>
      </c>
    </row>
    <row r="2" spans="1:2" x14ac:dyDescent="0.35">
      <c r="A2" s="107" t="s">
        <v>1175</v>
      </c>
      <c r="B2" s="107" t="s">
        <v>30</v>
      </c>
    </row>
    <row r="3" spans="1:2" ht="43.5" x14ac:dyDescent="0.35">
      <c r="A3" s="107" t="s">
        <v>1176</v>
      </c>
      <c r="B3" s="107" t="s">
        <v>1177</v>
      </c>
    </row>
    <row r="4" spans="1:2" ht="29" x14ac:dyDescent="0.35">
      <c r="A4" s="107" t="s">
        <v>1178</v>
      </c>
      <c r="B4" s="107" t="s">
        <v>31</v>
      </c>
    </row>
    <row r="5" spans="1:2" x14ac:dyDescent="0.35">
      <c r="A5" s="107" t="s">
        <v>1179</v>
      </c>
      <c r="B5" s="107" t="s">
        <v>32</v>
      </c>
    </row>
    <row r="6" spans="1:2" s="61" customFormat="1" ht="29" x14ac:dyDescent="0.35">
      <c r="A6" s="107" t="s">
        <v>1205</v>
      </c>
      <c r="B6" s="107" t="s">
        <v>37</v>
      </c>
    </row>
    <row r="7" spans="1:2" x14ac:dyDescent="0.35">
      <c r="A7" s="107" t="s">
        <v>1206</v>
      </c>
      <c r="B7" s="107" t="s">
        <v>33</v>
      </c>
    </row>
    <row r="8" spans="1:2" s="61" customFormat="1" ht="29" x14ac:dyDescent="0.35">
      <c r="A8" s="107" t="s">
        <v>1207</v>
      </c>
      <c r="B8" s="107" t="s">
        <v>38</v>
      </c>
    </row>
    <row r="9" spans="1:2" x14ac:dyDescent="0.35">
      <c r="A9" s="107" t="s">
        <v>1180</v>
      </c>
      <c r="B9" s="107" t="s">
        <v>34</v>
      </c>
    </row>
    <row r="10" spans="1:2" ht="29" x14ac:dyDescent="0.35">
      <c r="A10" s="107" t="s">
        <v>1198</v>
      </c>
      <c r="B10" s="107" t="s">
        <v>1181</v>
      </c>
    </row>
    <row r="11" spans="1:2" x14ac:dyDescent="0.35">
      <c r="A11" s="107" t="s">
        <v>1199</v>
      </c>
      <c r="B11" s="107" t="s">
        <v>36</v>
      </c>
    </row>
    <row r="12" spans="1:2" x14ac:dyDescent="0.35">
      <c r="A12" s="107" t="s">
        <v>1182</v>
      </c>
      <c r="B12" s="107" t="s">
        <v>39</v>
      </c>
    </row>
    <row r="13" spans="1:2" x14ac:dyDescent="0.35">
      <c r="A13" s="107" t="s">
        <v>1200</v>
      </c>
      <c r="B13" s="107" t="s">
        <v>40</v>
      </c>
    </row>
    <row r="14" spans="1:2" ht="29" x14ac:dyDescent="0.35">
      <c r="A14" s="107" t="s">
        <v>1208</v>
      </c>
      <c r="B14" s="107" t="s">
        <v>1183</v>
      </c>
    </row>
    <row r="15" spans="1:2" x14ac:dyDescent="0.35">
      <c r="A15" s="107" t="s">
        <v>1184</v>
      </c>
      <c r="B15" s="107" t="s">
        <v>42</v>
      </c>
    </row>
    <row r="16" spans="1:2" ht="29" x14ac:dyDescent="0.35">
      <c r="A16" s="107" t="s">
        <v>1185</v>
      </c>
      <c r="B16" s="107" t="s">
        <v>43</v>
      </c>
    </row>
    <row r="17" spans="1:2" x14ac:dyDescent="0.35">
      <c r="A17" s="107" t="s">
        <v>1186</v>
      </c>
      <c r="B17" s="107" t="s">
        <v>44</v>
      </c>
    </row>
    <row r="18" spans="1:2" x14ac:dyDescent="0.35">
      <c r="A18" s="107" t="s">
        <v>1187</v>
      </c>
      <c r="B18" s="107" t="s">
        <v>45</v>
      </c>
    </row>
    <row r="19" spans="1:2" ht="29" x14ac:dyDescent="0.35">
      <c r="A19" s="107" t="s">
        <v>1188</v>
      </c>
      <c r="B19" s="107" t="s">
        <v>46</v>
      </c>
    </row>
    <row r="20" spans="1:2" x14ac:dyDescent="0.35">
      <c r="A20" s="107" t="s">
        <v>1189</v>
      </c>
      <c r="B20" s="107" t="s">
        <v>1190</v>
      </c>
    </row>
    <row r="21" spans="1:2" ht="29" x14ac:dyDescent="0.35">
      <c r="A21" s="107" t="s">
        <v>1191</v>
      </c>
      <c r="B21" s="107" t="s">
        <v>48</v>
      </c>
    </row>
    <row r="22" spans="1:2" ht="29" x14ac:dyDescent="0.35">
      <c r="A22" s="107" t="s">
        <v>1201</v>
      </c>
      <c r="B22" s="107" t="s">
        <v>49</v>
      </c>
    </row>
    <row r="23" spans="1:2" s="61" customFormat="1" ht="29" x14ac:dyDescent="0.35">
      <c r="A23" s="107" t="s">
        <v>1209</v>
      </c>
      <c r="B23" s="107" t="s">
        <v>52</v>
      </c>
    </row>
    <row r="24" spans="1:2" x14ac:dyDescent="0.35">
      <c r="A24" s="107" t="s">
        <v>1192</v>
      </c>
      <c r="B24" s="107" t="s">
        <v>1204</v>
      </c>
    </row>
    <row r="25" spans="1:2" x14ac:dyDescent="0.35">
      <c r="A25" s="107" t="s">
        <v>1193</v>
      </c>
      <c r="B25" s="107" t="s">
        <v>51</v>
      </c>
    </row>
    <row r="26" spans="1:2" s="61" customFormat="1" ht="43.5" x14ac:dyDescent="0.35">
      <c r="A26" s="107" t="s">
        <v>1210</v>
      </c>
      <c r="B26" s="107" t="s">
        <v>53</v>
      </c>
    </row>
    <row r="27" spans="1:2" ht="29" x14ac:dyDescent="0.35">
      <c r="A27" s="107" t="s">
        <v>1194</v>
      </c>
      <c r="B27" s="107" t="s">
        <v>54</v>
      </c>
    </row>
    <row r="28" spans="1:2" ht="29" x14ac:dyDescent="0.35">
      <c r="A28" s="107" t="s">
        <v>1202</v>
      </c>
      <c r="B28" s="107" t="s">
        <v>55</v>
      </c>
    </row>
    <row r="29" spans="1:2" ht="29" x14ac:dyDescent="0.35">
      <c r="A29" s="107" t="s">
        <v>1211</v>
      </c>
      <c r="B29" s="107" t="s">
        <v>1195</v>
      </c>
    </row>
    <row r="30" spans="1:2" x14ac:dyDescent="0.35">
      <c r="A30" s="107" t="s">
        <v>1196</v>
      </c>
      <c r="B30" s="107" t="s">
        <v>57</v>
      </c>
    </row>
    <row r="31" spans="1:2" ht="29" x14ac:dyDescent="0.35">
      <c r="A31" s="107" t="s">
        <v>1203</v>
      </c>
      <c r="B31" s="107" t="s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Teams_2024</vt:lpstr>
      <vt:lpstr>WDC_2024</vt:lpstr>
      <vt:lpstr>WCC_2024</vt:lpstr>
      <vt:lpstr>BAH</vt:lpstr>
      <vt:lpstr>SAU</vt:lpstr>
      <vt:lpstr>AUS</vt:lpstr>
      <vt:lpstr>JAP</vt:lpstr>
      <vt:lpstr>CHI_S</vt:lpstr>
      <vt:lpstr>CHI</vt:lpstr>
      <vt:lpstr>MIA_S</vt:lpstr>
      <vt:lpstr>MIA</vt:lpstr>
      <vt:lpstr>IMO</vt:lpstr>
      <vt:lpstr>MON</vt:lpstr>
      <vt:lpstr>CAN</vt:lpstr>
      <vt:lpstr>SPA</vt:lpstr>
      <vt:lpstr>AUT_S</vt:lpstr>
      <vt:lpstr>AUT</vt:lpstr>
      <vt:lpstr>GBR</vt:lpstr>
      <vt:lpstr>HUN</vt:lpstr>
      <vt:lpstr>BEL</vt:lpstr>
      <vt:lpstr>NED</vt:lpstr>
      <vt:lpstr>ITA</vt:lpstr>
      <vt:lpstr>AZE</vt:lpstr>
      <vt:lpstr>SGP</vt:lpstr>
      <vt:lpstr>USA_S</vt:lpstr>
      <vt:lpstr>USA</vt:lpstr>
      <vt:lpstr>MEX</vt:lpstr>
      <vt:lpstr>BRA_S</vt:lpstr>
      <vt:lpstr>BRA</vt:lpstr>
      <vt:lpstr>VEG</vt:lpstr>
      <vt:lpstr>QAT_S</vt:lpstr>
      <vt:lpstr>QAT</vt:lpstr>
      <vt:lpstr>UAE</vt:lpstr>
      <vt:lpstr>GP_List_2024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Nirrus</cp:lastModifiedBy>
  <dcterms:created xsi:type="dcterms:W3CDTF">2025-10-31T21:30:26Z</dcterms:created>
  <dcterms:modified xsi:type="dcterms:W3CDTF">2025-11-13T23:26:26Z</dcterms:modified>
</cp:coreProperties>
</file>